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a1825938/Documents/quizbank/"/>
    </mc:Choice>
  </mc:AlternateContent>
  <xr:revisionPtr revIDLastSave="0" documentId="8_{F2261C0B-8EE5-3742-BB61-7365510EF378}" xr6:coauthVersionLast="47" xr6:coauthVersionMax="47" xr10:uidLastSave="{00000000-0000-0000-0000-000000000000}"/>
  <bookViews>
    <workbookView xWindow="0" yWindow="500" windowWidth="14620" windowHeight="15580" firstSheet="5" activeTab="5" xr2:uid="{2EF1E490-E989-4A6F-A5AF-9825343AD084}"/>
  </bookViews>
  <sheets>
    <sheet name="Timeline" sheetId="9" r:id="rId1"/>
    <sheet name="Weekly Activity Summaries" sheetId="3" r:id="rId2"/>
    <sheet name="WeeklyStructure" sheetId="12" r:id="rId3"/>
    <sheet name="Assessment" sheetId="7" r:id="rId4"/>
    <sheet name="2B" sheetId="16" r:id="rId5"/>
    <sheet name="Textbook" sheetId="17" r:id="rId6"/>
    <sheet name="TODO" sheetId="11" r:id="rId7"/>
    <sheet name="RRequiredPackages" sheetId="1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1" i="3" l="1"/>
  <c r="O13" i="3"/>
  <c r="O4" i="3"/>
  <c r="O5" i="3"/>
  <c r="O6" i="3"/>
  <c r="O7" i="3"/>
  <c r="O8" i="3"/>
  <c r="O9" i="3"/>
  <c r="O10" i="3"/>
  <c r="O11" i="3"/>
  <c r="O12" i="3"/>
  <c r="O3" i="3"/>
  <c r="O15" i="3" s="1"/>
  <c r="D7" i="7"/>
  <c r="O120" i="3"/>
  <c r="O111" i="3"/>
  <c r="O55" i="3" l="1"/>
  <c r="O91" i="3" l="1"/>
  <c r="O102" i="3"/>
  <c r="O74" i="3"/>
  <c r="O47" i="3"/>
  <c r="O67" i="3"/>
  <c r="O61" i="3"/>
  <c r="O83" i="3"/>
  <c r="O130" i="3" l="1"/>
</calcChain>
</file>

<file path=xl/sharedStrings.xml><?xml version="1.0" encoding="utf-8"?>
<sst xmlns="http://schemas.openxmlformats.org/spreadsheetml/2006/main" count="394" uniqueCount="296">
  <si>
    <t>Timeline</t>
  </si>
  <si>
    <t>Week 1</t>
  </si>
  <si>
    <t>Week 2</t>
  </si>
  <si>
    <t>Week 3</t>
  </si>
  <si>
    <t>Extension</t>
  </si>
  <si>
    <t>Week 4</t>
  </si>
  <si>
    <t>Week 5</t>
  </si>
  <si>
    <t>Week 6</t>
  </si>
  <si>
    <t>Week 7</t>
  </si>
  <si>
    <t>Week 8</t>
  </si>
  <si>
    <t>Week 9</t>
  </si>
  <si>
    <t>Week 10</t>
  </si>
  <si>
    <t>Exam Period</t>
  </si>
  <si>
    <t>Module</t>
  </si>
  <si>
    <t>Data</t>
  </si>
  <si>
    <t>Inference</t>
  </si>
  <si>
    <t>Regression</t>
  </si>
  <si>
    <t>Revision</t>
  </si>
  <si>
    <t>Topic</t>
  </si>
  <si>
    <t>Navigating Uncertainty</t>
  </si>
  <si>
    <t>Summarising and Visualising</t>
  </si>
  <si>
    <t>Probabilities and Distributions</t>
  </si>
  <si>
    <t>Estimating Mean(s)</t>
  </si>
  <si>
    <t>Testing Mean(s)</t>
  </si>
  <si>
    <t>Testing Median(s) and Categories</t>
  </si>
  <si>
    <t>One Numeric Predictor</t>
  </si>
  <si>
    <t>Multiple Numeric Predictors</t>
  </si>
  <si>
    <t>Categorical Predictors</t>
  </si>
  <si>
    <t>Exam (50%)</t>
  </si>
  <si>
    <t>Reports (40%)</t>
  </si>
  <si>
    <t>Part 1: Data (10%)</t>
  </si>
  <si>
    <t>Part 2: Inference (15%)</t>
  </si>
  <si>
    <t>Part 3: Regression (15%)</t>
  </si>
  <si>
    <t>Quizzes (10% total)</t>
  </si>
  <si>
    <t>Quiz 1</t>
  </si>
  <si>
    <t>Quiz 2</t>
  </si>
  <si>
    <t>Quiz 3</t>
  </si>
  <si>
    <t xml:space="preserve">Quiz 4 </t>
  </si>
  <si>
    <t>Quiz 5</t>
  </si>
  <si>
    <t xml:space="preserve">Quiz 6 </t>
  </si>
  <si>
    <t xml:space="preserve">Quiz 7 </t>
  </si>
  <si>
    <t xml:space="preserve">Quiz 8 </t>
  </si>
  <si>
    <t>Quiz 9</t>
  </si>
  <si>
    <t>Week</t>
  </si>
  <si>
    <t>Stage 2B Key Concepts</t>
  </si>
  <si>
    <t>Learning Objectives</t>
  </si>
  <si>
    <t>Optional Key Concepts/ Additional Comments</t>
  </si>
  <si>
    <t>Video(s)</t>
  </si>
  <si>
    <t>Forum</t>
  </si>
  <si>
    <t>Computer Pracical</t>
  </si>
  <si>
    <t>Textbook Sections</t>
  </si>
  <si>
    <t>Contact time (forum and computer practical)</t>
  </si>
  <si>
    <t>Additional out-of-class time</t>
  </si>
  <si>
    <t>Additional out-of class hours</t>
  </si>
  <si>
    <t>Total hours</t>
  </si>
  <si>
    <t>Data vs information
Dealing with uncertainty
Nature of scientific inquiry
Producing useful data
Experiments, Observational studies, surveys
Reliability, validity</t>
  </si>
  <si>
    <t xml:space="preserve"> - Identify what the subjects and variables are given a scenario with rectangular data. 
 - Identify the sample space and type (categorical, numeric) of variables.
 - Apply the reasoning of scientific inquiry to interpret outcomes of experiments.
 - Distinguish between experiments, observational studies and surveys.
 - Discuss the reliability, validity, and potential sampling biases of a study, including interpretation of results with caveats and disclaimers appropriate given its limitations.</t>
  </si>
  <si>
    <t>Should make a "Quick Guide" version of the instructions.
Should record a screencast of going through Prac01.
Could be added to practical as additional concepts:
 - Chunk options
 - Equations with LaTeX in R Markdown
 - Hyperlinks in R Markdown
 - c().
Should add examples of matched pairs studies.</t>
  </si>
  <si>
    <t>What is data?
Different kinds of measurements: numeric and categorical variables.
Different kinds of study designs: experiments, observational studies, surveys.
How to understand implications of a study: influence of study design, sampling bias, and quantification of uncertainty.
The scientific method.</t>
  </si>
  <si>
    <t xml:space="preserve">Welcome. Course Website Tour. Expectations for Students. Intro to Course.
What is data?
Why study statistics? (Because quantifying uncertainty is valuable!)
The scientific method, and how that fits into statistics (how much evidence is enough evidence?)
Sampling, and how design of experiment can inform how results can be interpreted far more than the measurements themselves sometimes.
Different kinds of experimental designs, and how this affects what interpretations can be drawn (use examples) (responder bias in surveys for example).
</t>
  </si>
  <si>
    <t xml:space="preserve"> - Install R and R Studio
 - Downlod, extract and open R Project folders.
 - Edit and render R Markdown *.qmd files to *.html
 - Embed R code with comments explaining it into R Markdown documents with quarto 
 - Assigning and calling variables, and using logical operators in R
 - Render R Markdown *.qmd files to *.pdf</t>
  </si>
  <si>
    <t xml:space="preserve">3.1 Sources of data
3.2 Design of experiments
3.3. Sampling design
3.4 Ethics
</t>
  </si>
  <si>
    <t xml:space="preserve"> - Work on additional exercises (2hrs)
 - Summarise and review videos and exercises (1hr)
 - Complete Quiz 1 (1hrs)</t>
  </si>
  <si>
    <t>Summary measures (centre, spread, skewness, kurtosis, correlation)
Visualising data</t>
  </si>
  <si>
    <t xml:space="preserve"> - Calculate mean, median, mode, interquartile range, range, standard deviation, variance, skewness, kurtosis and correlation in R.
 - Interpret mean, median, mode, interquartile range, range, standard deviation, variance, skewness, kurtosis and correlation in context.
 - Visualise data in R (make more specific).
 - Interpret visualisations of data in R in context (make more specific).</t>
  </si>
  <si>
    <t>Should make a "Quick Guide" version of the instructions.
Supplementary to practical: Working directories and file paths.
Could be removed from computer prac: 
 - Quantiles.
Could be added to practical as additional concepts: 
 - how to read documentation, google and use chatGPT.
 - inline R code in R Markdown with quarto
Revision: Percentages and proportions might be valuable to include in this week.</t>
  </si>
  <si>
    <t>How to summarise and visualise data. 
Visualisation is important, as blindly analysing and interpreting results from data without first looking at the data itself can lead to major errors. But visualisation can also lead to misunderstandings of data, and so needs to be done critically and with care.</t>
  </si>
  <si>
    <t>Visualising data is valuable, but can also be fraught --- it can be easy to visualise data in misleading ways, so care needs to be taken when interpreting but also when generating visualisations.
Summarising data is also useful, but similarly fraught --- discuss examples of cases where data summaries and visuals omit important information.
Histograms, distributions of data and language to describe them (skewness, symmetry, peaks, tails, centre, spread, etc.)</t>
  </si>
  <si>
    <t xml:space="preserve"> - Read in Data
 - Display data with head()
 - Calculate a mean() and summary() statistics.</t>
  </si>
  <si>
    <t xml:space="preserve">1.1 Data
1.2 Displaying distributions with graphs
1.3 Describing distributions with numbers
</t>
  </si>
  <si>
    <t xml:space="preserve"> - Work on additional exercises (2hrs)
 - Summarise and review videos and exercises (1hr)
 - Complete Quiz 2 (1hrs)
 - Work on exploratory data analysis report (5hrs)
</t>
  </si>
  <si>
    <t xml:space="preserve">Normal distribution
Sampling distributions
</t>
  </si>
  <si>
    <t xml:space="preserve"> - Calculate probabilities and perform inverse probability calculations from normal distributions in R.
 - Apply the central limit theorem in order to approximate the distribution of a sample mean.
 - Interpret probabilities in context.
 - Assess normality of a distribution
- Apply a data transformation to recover normality</t>
  </si>
  <si>
    <t>Binomial Distribution?</t>
  </si>
  <si>
    <t>The Normal Distribution and the Central Limit Theorem.</t>
  </si>
  <si>
    <t>Make plots, including histograms</t>
  </si>
  <si>
    <t xml:space="preserve">1.4 Density curves and normal distribution
5.1 Towards statistical inference
5.2 The sampling distribution of a sample mean
(5.3 Sampling distributions for counts and proportions)
</t>
  </si>
  <si>
    <t xml:space="preserve"> - Work on additional exercises (2hrs)
 - Summarise and review videos and exercises (1hr)
 - Complete Quiz 3 (1hrs)
 - Work on  exploratory data analysis report (5hrs)
</t>
  </si>
  <si>
    <t>Confidence Intervals</t>
  </si>
  <si>
    <t xml:space="preserve"> - Calculate normal-theory confidence intervals for a mean or a difference between two means in R.
 - Interpret confidence intervals in context.
 - Describe the population about which inferences can be made given a sample and information on how the sample was collected.</t>
  </si>
  <si>
    <t xml:space="preserve">Prob &amp; Stats Equivalent
 - Inference (population vs sample, parameter vs statistic, point estimation, confidence intervals and hypothesis testing), 
 - Margin of error, significance, confidence, critical value, standard error. 
</t>
  </si>
  <si>
    <t>What is inference? Population vs sample. Drawing conclusions about populations, based on measurements on a sample.
Confidence intervals as a form of inference.</t>
  </si>
  <si>
    <t>Inference: ultimately, we often want to draw conclusions about a population from a sample of data. 
One type of inference is where we want to determine the approximate value a population parameter.
The corresponding statistic, or estimator, can give us a point estimate of the population parameter.
However, if we want to also quantify our uncertainty about the value of the population parameter, confidence intervals are a way to do this.</t>
  </si>
  <si>
    <t>Probability calculations
Assess normality</t>
  </si>
  <si>
    <t>6.1 Estimating with confidence
6.2 Tests of significance
6.3 Use and abuse of tests
6.4 Power and inference as a decision (optional)</t>
  </si>
  <si>
    <t xml:space="preserve"> - Work on additional exercises (2hrs)
 - Summarise and review videos and exercises (1hr)
 - Complete Quiz 4 (1hrs)
 - Complete and submit exploratory data analysis report (5hrs)
</t>
  </si>
  <si>
    <t>One and two sample t-tests</t>
  </si>
  <si>
    <t>- Perform a one-sample t-test, two-sample t-test, or matched pairs t-test for a mean or the difference between two means, either using R or given the R output.
- Interpret the results of a one-sample, two-sample, or matched pairs t-test in context.
- Assess the assumptions of the one-sample, two-sample, and matched pairs t-tests given the context.</t>
  </si>
  <si>
    <t>Prob &amp; Stats Equivalent
 t-distribution, degrees of freedom, inference for a mean with unknown variance (one-sample t-test) and for the difference between two means with unknown variances (two-sample t-test)</t>
  </si>
  <si>
    <t>Hypothesis testing: is another form of inference, in which we want to make a decision.
In hypothesis testing there is a "status quo" represented by the null hypothesis, and the alternate hypothesis contains everything else and is the thing that the structure of a test allows us to provide evidence for. 
The conclusions from a hypothesis test are assymetric --- either we provide "sufficient" evidence for the alternate hypothesis, or we fail to provide sufficient evidence for anything at all. This aligns with the scientific methodology of either succeeding or failing to disprove hypotheses over time.
Hypothesis testing can also be thought of as a procedure that controls Type 1 error, but not Type 2 error. Discussion of choice of significance level in different contexts.</t>
  </si>
  <si>
    <t>Calculate a confidence interval</t>
  </si>
  <si>
    <t>7.1 Inference for the mean of a population
7.2 Comparing two means</t>
  </si>
  <si>
    <t xml:space="preserve"> - Work on additional exercises (2hrs)
 - Summarise and review videos and exercises (1hr)
 - Complete Quiz 5 (1hrs)
</t>
  </si>
  <si>
    <t>Chi-square test
Non-parametric tests</t>
  </si>
  <si>
    <t xml:space="preserve"> - Perform a chi-square test for association between two categorical variables in R.
 - Interpret the results from a chi-square test for association between two categorical variables.
 - Perform a Mann-Whitney test in R.
 - Interpret the results from a Mann-Whitney test.</t>
  </si>
  <si>
    <t>Which non-parametric tests to introduce? Mann-Whitney? Kruskal-Wallis?</t>
  </si>
  <si>
    <t>What about comparing categorical variables? Chi-square test.
What about when we don't have normality or can't use the central limit theorem? Non-parametric tests.</t>
  </si>
  <si>
    <t>Do a t-test</t>
  </si>
  <si>
    <t xml:space="preserve">2.6 Data analysis for two-way tables
9.1 Inference for two-way tables
9.2 Goodness of fit
15.1 The Wilcoxon rank sum test
15.2 The Wilcoxon signed rank test
</t>
  </si>
  <si>
    <t xml:space="preserve"> - Work on additional exercises (2hrs)
 - Summarise and review videos and exercises (1hr)
 - Complete Quiz 6 (1hrs)
 - Work on hypothesis testing report (5hrs)
</t>
  </si>
  <si>
    <t>Simple linear regression: 
 - Residuals and transformations
 - Statistical inference for regression parameters
 - Prediction</t>
  </si>
  <si>
    <t xml:space="preserve"> - Fit a simple linear regression model to data, produce diagnostic residual plots and predictions in R.
 - Assess regression assumptions for a simple linear regression model.
 - Interpret the coefficient estimates in a fitted simple linear regression model.
 - Perform a t-test for a simple linear regression model having zero intercept or slope.
 - Interpret confidence and prediction intervals from a simple linear regression model.</t>
  </si>
  <si>
    <t>Equivalent from Prob &amp; Stats:
 - Scatterplots, confounding factors, correlation is not causation. 
 - Simple linear regression (residuals, least squares estimation, inference for regression parameters, assumptions, coefficient of determination, transforming variables, and making predictions).
Need to add transformations to learning outcomes? should these be added for simple and multiple or just one of them?</t>
  </si>
  <si>
    <t xml:space="preserve"> - Do a chi-square test
 - Mann-Whitney test</t>
  </si>
  <si>
    <t>2.2 Scatterplots
2.3 Correlation
2.4 Least-squares regression
2.5 Cautions about correlation and regression
10.1 Simple linear regression
10.2 More detail about simple linear regression</t>
  </si>
  <si>
    <t xml:space="preserve"> - Work on additional exercises (2hrs)
 - Summarise and review videos and exercises (1hr)
 - Complete Quiz 7 (1hrs)
 - Complete and submit hypothesis testing report (5hrs)
</t>
  </si>
  <si>
    <t>Multiple linear regression: 
 - Residuals and transformations
 - Statistical inference for regression parameters
 - Prediction</t>
  </si>
  <si>
    <t xml:space="preserve"> - Fit a multiple linear regression model to data, produce diagnostic residual plots and predictions in R.
 - Assess regression assumptions for a simple multiple regression model.
 - Interpret the coefficient estimates in a fitted multiple linear regression model.
 - Perform a t-test for a simple multiple regression model having zero intercept or slope.
 - Interpret confidence and prediction intervals from a multiple linear regression model.</t>
  </si>
  <si>
    <t>Equivalent from Prob &amp; Stats:
Multiple linear regression:
 - adding polynomial and interaction terms, 
 - ANOVA F-test, 
 - checking model assumptions, 
 - collinearity, 
 - making predictions.</t>
  </si>
  <si>
    <t xml:space="preserve"> - Make a scatterplot
 - Fit a simple linear regression model
 - Assess assumptions
 - Make a prediction</t>
  </si>
  <si>
    <t>11. Inference for multiple regression</t>
  </si>
  <si>
    <t xml:space="preserve"> - Work on additional exercises (2hrs)
 - Summarise and review videos and exercises (1hr)
 - Complete Quiz 8 (1hrs)
 - Work on regression report (5hrs)
</t>
  </si>
  <si>
    <t>ANOVA</t>
  </si>
  <si>
    <t xml:space="preserve"> - Fit an ANOVA model in R.
 - Assess the assumptions for an ANOVA model.
 - Interpret the results from an ANOVA model.
 - Perform a Kruskal-Wallis test in R.
 - Interpret the results from a Kruskal-Wallis test.</t>
  </si>
  <si>
    <t>Equivalent from Prob &amp; Stats:
Regression with categorical predictors:
 - One-way ANOVA
 - Two-way ANOVA
- Follow up test using Tukey's method
-Assumptions and diagnostics for ANOVA</t>
  </si>
  <si>
    <t xml:space="preserve"> - Fit a multiplelinear regression model
 - Assess assumptions
 - Make a prediction</t>
  </si>
  <si>
    <t>12.1 Inference for one-way ANOVA
12.2 Comparing the means
13.1 The two-way ANOVA model
13.2 Inference for two-way ANOVA
15.3 The Kruskal-Wallis Test</t>
  </si>
  <si>
    <t xml:space="preserve"> - Work on additional exercises (2hrs)
 - Summarise and review videos and exercises (1hr)
 - Complete Quiz 9 (1hrs)
 - Work on regression report (5hrs)</t>
  </si>
  <si>
    <t xml:space="preserve"> - Complete and submit regression report (5hrs)</t>
  </si>
  <si>
    <t>Exams</t>
  </si>
  <si>
    <t xml:space="preserve"> - Revise for and sit exam (25hrs)
</t>
  </si>
  <si>
    <t>Total Student Time:</t>
  </si>
  <si>
    <t>Study design and sampling</t>
  </si>
  <si>
    <t xml:space="preserve">Identify what the subjects and variables are given a scenario with rectangular data. </t>
  </si>
  <si>
    <t>Install and Open R</t>
  </si>
  <si>
    <t>Identify the sample space and type (categorical, numeric) of variables.</t>
  </si>
  <si>
    <t>Make an R Project</t>
  </si>
  <si>
    <t>Apply the reasoning of scientific inquiry to interpret outcomes of experiments.</t>
  </si>
  <si>
    <t>Open and Save a File</t>
  </si>
  <si>
    <t>Distinguish between experiments, observational studies and surveys.</t>
  </si>
  <si>
    <t>Compile a R Markdown template into a PDF</t>
  </si>
  <si>
    <t>Discuss the reliability, validity, and potential sampling biases of a study, including interpretation of results with caveats and disclaimers appropriate given its limitations</t>
  </si>
  <si>
    <t>Summarising and visualising</t>
  </si>
  <si>
    <t>Calculate mean, median, mode, interquartile range, range, standard deviation, variance, skewness, kurtosis and correlation in R.</t>
  </si>
  <si>
    <t>Read in Data</t>
  </si>
  <si>
    <t>Interpret mean, median, mode, interquartile range, range, standard deviation, variance, skewness, kurtosis and correlation in context.</t>
  </si>
  <si>
    <t>Display data with head()</t>
  </si>
  <si>
    <t>Visualise data in R (make more specific).</t>
  </si>
  <si>
    <t>Which types of visuals to introduce: histograms, stacked bar charts, dot plots?</t>
  </si>
  <si>
    <t>calculate a mean() and summary() statistics.</t>
  </si>
  <si>
    <t>Intpret visualisations of data in R in context (make more specific).</t>
  </si>
  <si>
    <t>Probabilities and distributions</t>
  </si>
  <si>
    <t>Calculate probabilities and perform inverse probability calculations from normal distributions in R.</t>
  </si>
  <si>
    <t>Make plots, including historgrams</t>
  </si>
  <si>
    <t>Apply the central limit theorem in order to approximate the distribution of a sample mean.</t>
  </si>
  <si>
    <t>Interpret probabilities in context.</t>
  </si>
  <si>
    <t>Confidence intervals</t>
  </si>
  <si>
    <t>Calculate normal-theory confidence intervals for a mean or a difference between two means in R.</t>
  </si>
  <si>
    <t>Assess normality</t>
  </si>
  <si>
    <t>Interpret confidence intervals in context.</t>
  </si>
  <si>
    <t>Describe the population about which inferences can be made given a sample and information on how it was collected.</t>
  </si>
  <si>
    <t>Hypothesis testing with t-tests</t>
  </si>
  <si>
    <t>Perform a t-test for a mean or the difference between two means either using R or given the R output.</t>
  </si>
  <si>
    <t>Prob &amp; Stats Equivalent
 t-distribution, degrees of freedom, inference for a mean with unknown variance (one-sample t-test) and for the difference between two means with unknown variances (two-sample t-test).</t>
  </si>
  <si>
    <t>Interpret the result of a t-test for a mean or the difference between two means in context.</t>
  </si>
  <si>
    <t>Assess the assumptions of a t-test for a mean or difference of two means given the context.</t>
  </si>
  <si>
    <t>Hypothesis testing with chi-square and nonparametric tests</t>
  </si>
  <si>
    <t>Perform a chi-square test for association between two categorical variables in R.</t>
  </si>
  <si>
    <t xml:space="preserve">Which non-parametric tests to introduce? </t>
  </si>
  <si>
    <t xml:space="preserve">2.6 Data analysis for two-way tables
9.1 Inference for two-way tables
9.2 Goodness of fit
15 Nonparametric rank tests (check availability)
</t>
  </si>
  <si>
    <t>Interpret the results from a chi-square test for association between two categorical variables.</t>
  </si>
  <si>
    <t>Mann-Whitney? Kruskal-Wallis?</t>
  </si>
  <si>
    <t>Perform a Mann-Whitney test in R.</t>
  </si>
  <si>
    <t>Interpret the results from a Mann-Whitney test.</t>
  </si>
  <si>
    <t>With One Numberic Predictor</t>
  </si>
  <si>
    <t>Fit a simple linear regression model to data, produce diagnostic residual plots and predictions in R.</t>
  </si>
  <si>
    <t>Do a chi-square test</t>
  </si>
  <si>
    <t>Assess regression assumptions for a simple linear regression model.</t>
  </si>
  <si>
    <t>Whitney test</t>
  </si>
  <si>
    <t>Interpret the coefficient estimates in a fitted simple linear regression model.</t>
  </si>
  <si>
    <t>Perform a t-test for a simple linear regression model having zero intercept or slope.</t>
  </si>
  <si>
    <t>Interpret confidence and prediction intervals from a simple linear regression model.</t>
  </si>
  <si>
    <t>With Multiple Numeric Predictors</t>
  </si>
  <si>
    <t>Fit a multiple linear regression model to data, produce diagnostic residual plots and predictions in R.</t>
  </si>
  <si>
    <t>Fit a regression Model</t>
  </si>
  <si>
    <t>Assess regression assumptions for a simple multiple regression model.</t>
  </si>
  <si>
    <t>Assess assumptions</t>
  </si>
  <si>
    <t>Interpret the coefficient estimates in a fitted multiple linear regression model.</t>
  </si>
  <si>
    <t>Make a prediction</t>
  </si>
  <si>
    <t>Perform a t-test for a simple multiple regression model having zero intercept or slope.</t>
  </si>
  <si>
    <t>Scatterplots</t>
  </si>
  <si>
    <t>Interpret confidence and prediction intervals from a multiple linear regression model.</t>
  </si>
  <si>
    <t>With Categorical Predictors</t>
  </si>
  <si>
    <t>Fit an ANOVA model in R.</t>
  </si>
  <si>
    <t>12.1 Inference for one-way ANOVA
12.2 Comparing the means
13.1 The two-way ANOVA model
13.2 Inference for two-way ANOVA</t>
  </si>
  <si>
    <t>Assess the assumptions for an ANOVA model.</t>
  </si>
  <si>
    <t>Interpret the results from an ANOVA model.</t>
  </si>
  <si>
    <t>Perform a Kruskal-Wallis test in R.</t>
  </si>
  <si>
    <t>Interpret the results from a Kruskal-Wallis test.</t>
  </si>
  <si>
    <t>Catch-up for missed classes and revision for exam.</t>
  </si>
  <si>
    <t>Exam Strategies</t>
  </si>
  <si>
    <t>ANOVA Stuff</t>
  </si>
  <si>
    <t>Swot-vac and exams</t>
  </si>
  <si>
    <t>Swot-vac and  exams</t>
  </si>
  <si>
    <t>None</t>
  </si>
  <si>
    <t>Weekly Structure</t>
  </si>
  <si>
    <t>10-15min video on the core idea for that week</t>
  </si>
  <si>
    <t>Details fleshed out with examples in forum</t>
  </si>
  <si>
    <t>computer prac on the concepts from the previous week.</t>
  </si>
  <si>
    <t>detailed text explanation of the ideas in the computer prac PDF</t>
  </si>
  <si>
    <t>optional: record a video going through those ideas from the computer prac PDF</t>
  </si>
  <si>
    <t>Name</t>
  </si>
  <si>
    <t>Module(s)</t>
  </si>
  <si>
    <t>Description</t>
  </si>
  <si>
    <t>Weights</t>
  </si>
  <si>
    <t>Quizzes</t>
  </si>
  <si>
    <t>All (3 multiple choice questions per week)</t>
  </si>
  <si>
    <t>Scaffolded Report</t>
  </si>
  <si>
    <t>Exam</t>
  </si>
  <si>
    <t>17 multiple choice (1 mark each), 3 scenario-based questions (11 marks each)</t>
  </si>
  <si>
    <t>Total</t>
  </si>
  <si>
    <t>2B content</t>
  </si>
  <si>
    <t>Week covered</t>
  </si>
  <si>
    <t>Introduction to Statistics</t>
  </si>
  <si>
    <t>• Data vs information</t>
  </si>
  <si>
    <t>• Dealing with uncertainty</t>
  </si>
  <si>
    <t>• Nature of scientific inquiry</t>
  </si>
  <si>
    <t>Exploratory Data Analysis</t>
  </si>
  <si>
    <t>• Visual displays</t>
  </si>
  <si>
    <t>• Summary measures (centre, spread, skewness, kurtosis, correlation)</t>
  </si>
  <si>
    <t>Probability distributions</t>
  </si>
  <si>
    <t>• Binomial distribution (optional)</t>
  </si>
  <si>
    <t>• Normal distribution</t>
  </si>
  <si>
    <t>• Sampling distributions</t>
  </si>
  <si>
    <t>Statistical inference</t>
  </si>
  <si>
    <t>• Confidence intervals</t>
  </si>
  <si>
    <t>• One- and two-sample t-tests</t>
  </si>
  <si>
    <t>• ANOVA</t>
  </si>
  <si>
    <t>• Chi-square test</t>
  </si>
  <si>
    <t>• Non-parametric alternatives</t>
  </si>
  <si>
    <t>Linear modelling</t>
  </si>
  <si>
    <t>• Simple linear regression</t>
  </si>
  <si>
    <t>• Multiple regression</t>
  </si>
  <si>
    <t>• Residuals and transformations</t>
  </si>
  <si>
    <t>7,8</t>
  </si>
  <si>
    <t>• Statistical inference for regression parameters</t>
  </si>
  <si>
    <t>• Prediction</t>
  </si>
  <si>
    <t>Experimental design</t>
  </si>
  <si>
    <t>• Producing useful data</t>
  </si>
  <si>
    <t>• Experiments, observational studies, surveys</t>
  </si>
  <si>
    <t>• Reliability and validity</t>
  </si>
  <si>
    <t>• Study power (optional)</t>
  </si>
  <si>
    <t>Introduction to R</t>
  </si>
  <si>
    <t>The R language (base R)</t>
  </si>
  <si>
    <t>• Data manipulation and cleaning (filtering, sorting, merging, reshaping data frames)</t>
  </si>
  <si>
    <t>weeks 1-3</t>
  </si>
  <si>
    <t>• Transforming data to prepare it for analysis (e.g., creating new variables, recoding categorical variables)</t>
  </si>
  <si>
    <t>regression, e.g. sqrt bmi, log</t>
  </si>
  <si>
    <t>• Visualising data using charts (e.g., histograms, boxplots, scatter plots, bar charts)</t>
  </si>
  <si>
    <t>• Summarising data using descriptive statistics</t>
  </si>
  <si>
    <t>• Perform common statistical analyses using R</t>
  </si>
  <si>
    <t>Weeks 5-9</t>
  </si>
  <si>
    <t>• Reproducibility and documentation (e.g., R markdown)</t>
  </si>
  <si>
    <t>Throughout, introduced in Week 1 and used for reports</t>
  </si>
  <si>
    <t>Main text</t>
  </si>
  <si>
    <t>Introduction to the Practice of Statistics - Moore, David S.</t>
  </si>
  <si>
    <t>1 student can access per 200 students at any one time</t>
  </si>
  <si>
    <t>Chapter 15 available here:</t>
  </si>
  <si>
    <t>https://www.macmillanlearning.com/studentresources/college/collegebridgepage/ips9e.html#anchor1</t>
  </si>
  <si>
    <t>Statistics Resources</t>
  </si>
  <si>
    <t>Making sense of statistics</t>
  </si>
  <si>
    <t>https://www.adelaide.edu.au/mathslearning/resources/making-sense-of-statistics</t>
  </si>
  <si>
    <t xml:space="preserve">    Prezi</t>
  </si>
  <si>
    <t>https://prezi.com/7cao5sk9dyqo/statistics-for-reading-and-creating-research/?utm_campaign=share&amp;utm_medium=copy</t>
  </si>
  <si>
    <t>R resources</t>
  </si>
  <si>
    <t>R for datascience 2nd edition</t>
  </si>
  <si>
    <t>https://r4ds.hadley.nz/data-visualize.html</t>
  </si>
  <si>
    <t>RYouWithMe by RLadiesSydney</t>
  </si>
  <si>
    <t>https://rladiessydney.org/courses/</t>
  </si>
  <si>
    <t>Software Carpentry Instructor Training</t>
  </si>
  <si>
    <t>https://carpentries.github.io/instructor-training/17-live.html</t>
  </si>
  <si>
    <t>Deliverables</t>
  </si>
  <si>
    <t>Under development</t>
  </si>
  <si>
    <t>Video</t>
  </si>
  <si>
    <t>Computer Prac</t>
  </si>
  <si>
    <t>Paperwork</t>
  </si>
  <si>
    <t>Ongoing - Lyron</t>
  </si>
  <si>
    <t>Drafted - Lyron</t>
  </si>
  <si>
    <t>9 core concept videos</t>
  </si>
  <si>
    <t>9 2hr forums fleshed out.</t>
  </si>
  <si>
    <t>Ongoing - Ryan</t>
  </si>
  <si>
    <t>Drafted - Ryan</t>
  </si>
  <si>
    <t>10 computer practicals</t>
  </si>
  <si>
    <t>9 quizzes</t>
  </si>
  <si>
    <t>Course website built</t>
  </si>
  <si>
    <t>Optional</t>
  </si>
  <si>
    <t>videos on R support for computer pracs.</t>
  </si>
  <si>
    <t>report exemplars</t>
  </si>
  <si>
    <t>-</t>
  </si>
  <si>
    <t>exam exemplars</t>
  </si>
  <si>
    <t>Canvas</t>
  </si>
  <si>
    <t>Ryan</t>
  </si>
  <si>
    <t>Course rubric</t>
  </si>
  <si>
    <t>Lyron</t>
  </si>
  <si>
    <t>Package name</t>
  </si>
  <si>
    <t>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</si>
</sst>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8"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b/>
      <sz val="11"/>
      <color rgb="FFFF0000"/>
      <name val="Calibri"/>
      <family val="2"/>
      <scheme val="minor"/>
    </font>
    <font>
      <sz val="11"/>
      <color rgb="FF242424"/>
      <name val="Aptos Narrow"/>
    </font>
    <font>
      <u/>
      <sz val="11"/>
      <color theme="10"/>
      <name val="Calibri"/>
      <family val="2"/>
      <scheme val="minor"/>
    </font>
  </fonts>
  <fills count="8">
    <fill>
      <patternFill patternType="none"/>
    </fill>
    <fill>
      <patternFill patternType="gray125"/>
    </fill>
    <fill>
      <patternFill patternType="solid">
        <fgColor theme="5" tint="0.39997558519241921"/>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tint="0.59999389629810485"/>
        <bgColor indexed="64"/>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2" fillId="0" borderId="0" applyFont="0" applyFill="0" applyBorder="0" applyAlignment="0" applyProtection="0"/>
    <xf numFmtId="0" fontId="7" fillId="0" borderId="0" applyNumberFormat="0" applyFill="0" applyBorder="0" applyAlignment="0" applyProtection="0"/>
  </cellStyleXfs>
  <cellXfs count="59">
    <xf numFmtId="0" fontId="0" fillId="0" borderId="0" xfId="0"/>
    <xf numFmtId="0" fontId="0" fillId="0" borderId="0" xfId="0" applyAlignment="1">
      <alignment horizontal="center" vertical="center"/>
    </xf>
    <xf numFmtId="0" fontId="1" fillId="0" borderId="0" xfId="0" applyFont="1"/>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wrapText="1"/>
    </xf>
    <xf numFmtId="0" fontId="0" fillId="2" borderId="0" xfId="0" applyFill="1" applyAlignment="1">
      <alignment horizontal="center" vertical="center" wrapText="1"/>
    </xf>
    <xf numFmtId="0" fontId="0" fillId="0" borderId="0" xfId="0" applyAlignment="1">
      <alignment horizontal="center" wrapText="1"/>
    </xf>
    <xf numFmtId="0" fontId="0" fillId="5" borderId="0" xfId="0" applyFill="1" applyAlignment="1">
      <alignment horizontal="center" wrapText="1"/>
    </xf>
    <xf numFmtId="0" fontId="0" fillId="6" borderId="0" xfId="0" applyFill="1" applyAlignment="1">
      <alignment horizontal="center" wrapText="1"/>
    </xf>
    <xf numFmtId="0" fontId="0" fillId="5" borderId="0" xfId="0" applyFill="1" applyAlignment="1">
      <alignment wrapText="1"/>
    </xf>
    <xf numFmtId="0" fontId="0" fillId="6" borderId="0" xfId="0" applyFill="1" applyAlignment="1">
      <alignment wrapText="1"/>
    </xf>
    <xf numFmtId="0" fontId="0" fillId="6" borderId="0" xfId="0" applyFill="1" applyAlignment="1">
      <alignment horizontal="center" vertical="center" wrapText="1"/>
    </xf>
    <xf numFmtId="0" fontId="0" fillId="5" borderId="0" xfId="0" applyFill="1" applyAlignment="1">
      <alignment horizontal="center" vertical="center" wrapText="1"/>
    </xf>
    <xf numFmtId="0" fontId="0" fillId="3" borderId="0" xfId="0" applyFill="1" applyAlignment="1">
      <alignment horizontal="center" vertical="center" wrapText="1"/>
    </xf>
    <xf numFmtId="0" fontId="3" fillId="0" borderId="0" xfId="0" applyFont="1"/>
    <xf numFmtId="0" fontId="4" fillId="0" borderId="0" xfId="0" applyFont="1"/>
    <xf numFmtId="0" fontId="4" fillId="5" borderId="0" xfId="0" applyFont="1" applyFill="1" applyAlignment="1">
      <alignment horizontal="center" vertical="center" wrapText="1"/>
    </xf>
    <xf numFmtId="0" fontId="0" fillId="0" borderId="0" xfId="0" quotePrefix="1"/>
    <xf numFmtId="0" fontId="4" fillId="0" borderId="0" xfId="0" applyFont="1" applyAlignment="1">
      <alignment horizontal="center" vertical="center" wrapText="1"/>
    </xf>
    <xf numFmtId="0" fontId="4" fillId="4" borderId="0" xfId="0" applyFont="1" applyFill="1" applyAlignment="1">
      <alignment horizontal="center" vertical="center" wrapText="1"/>
    </xf>
    <xf numFmtId="164" fontId="0" fillId="0" borderId="0" xfId="1" applyFont="1"/>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2" borderId="6" xfId="0" applyFill="1" applyBorder="1" applyAlignment="1">
      <alignment horizontal="center" vertical="center" wrapText="1"/>
    </xf>
    <xf numFmtId="0" fontId="0" fillId="0" borderId="5" xfId="0" applyBorder="1" applyAlignment="1">
      <alignment horizontal="center" vertical="center" wrapText="1"/>
    </xf>
    <xf numFmtId="165" fontId="0" fillId="0" borderId="0" xfId="1" applyNumberFormat="1" applyFont="1"/>
    <xf numFmtId="165" fontId="1" fillId="0" borderId="0" xfId="0" applyNumberFormat="1" applyFont="1"/>
    <xf numFmtId="165" fontId="3" fillId="0" borderId="0" xfId="1" applyNumberFormat="1" applyFont="1"/>
    <xf numFmtId="0" fontId="5" fillId="0" borderId="0" xfId="0" applyFont="1"/>
    <xf numFmtId="165" fontId="5" fillId="0" borderId="0" xfId="0" applyNumberFormat="1" applyFont="1"/>
    <xf numFmtId="164" fontId="5" fillId="0" borderId="0" xfId="0" applyNumberFormat="1" applyFont="1"/>
    <xf numFmtId="164" fontId="3" fillId="0" borderId="0" xfId="1" applyFont="1"/>
    <xf numFmtId="0" fontId="4" fillId="0" borderId="0" xfId="0" applyFont="1" applyAlignment="1">
      <alignment horizontal="left" vertical="center" wrapText="1"/>
    </xf>
    <xf numFmtId="0" fontId="6" fillId="0" borderId="0" xfId="0" applyFont="1"/>
    <xf numFmtId="0" fontId="0" fillId="0" borderId="0" xfId="0" applyAlignment="1">
      <alignment horizontal="center"/>
    </xf>
    <xf numFmtId="0" fontId="0" fillId="0" borderId="0" xfId="0" applyAlignment="1">
      <alignment horizontal="left" vertical="center"/>
    </xf>
    <xf numFmtId="0" fontId="0" fillId="2" borderId="0" xfId="0" applyFill="1"/>
    <xf numFmtId="0" fontId="4" fillId="0" borderId="0" xfId="0" applyFont="1" applyAlignment="1">
      <alignment vertical="center" wrapText="1"/>
    </xf>
    <xf numFmtId="0" fontId="0" fillId="0" borderId="0" xfId="0" applyAlignment="1">
      <alignment vertical="center"/>
    </xf>
    <xf numFmtId="0" fontId="6" fillId="0" borderId="0" xfId="0" applyFont="1" applyAlignment="1">
      <alignment horizontal="left" vertical="center" wrapText="1"/>
    </xf>
    <xf numFmtId="0" fontId="7" fillId="0" borderId="0" xfId="2"/>
    <xf numFmtId="0" fontId="0" fillId="4" borderId="0" xfId="0" applyFill="1" applyAlignment="1">
      <alignment horizontal="left" vertical="center" wrapText="1"/>
    </xf>
    <xf numFmtId="16" fontId="0" fillId="0" borderId="0" xfId="0" applyNumberFormat="1"/>
    <xf numFmtId="0" fontId="0" fillId="7" borderId="0" xfId="0" applyFill="1"/>
    <xf numFmtId="0" fontId="0" fillId="0" borderId="0" xfId="0" applyAlignment="1">
      <alignment vertical="top"/>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0" fillId="0" borderId="0" xfId="0" applyAlignment="1">
      <alignment horizontal="lef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rladiessydney.org/courses/" TargetMode="External"/><Relationship Id="rId2" Type="http://schemas.openxmlformats.org/officeDocument/2006/relationships/hyperlink" Target="https://r4ds.hadley.nz/data-visualize.html" TargetMode="External"/><Relationship Id="rId1" Type="http://schemas.openxmlformats.org/officeDocument/2006/relationships/hyperlink" Target="https://www.macmillanlearning.com/studentresources/college/collegebridgepage/ips9e.html" TargetMode="External"/><Relationship Id="rId6" Type="http://schemas.openxmlformats.org/officeDocument/2006/relationships/hyperlink" Target="https://prezi.com/7cao5sk9dyqo/statistics-for-reading-and-creating-research/?utm_campaign=share&amp;utm_medium=copy" TargetMode="External"/><Relationship Id="rId5" Type="http://schemas.openxmlformats.org/officeDocument/2006/relationships/hyperlink" Target="https://www.adelaide.edu.au/mathslearning/resources/making-sense-of-statistics" TargetMode="External"/><Relationship Id="rId4" Type="http://schemas.openxmlformats.org/officeDocument/2006/relationships/hyperlink" Target="https://carpentries.github.io/instructor-training/17-liv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11B83-36E2-48D7-A051-CFCF5C8816E5}">
  <dimension ref="B3:Q13"/>
  <sheetViews>
    <sheetView showGridLines="0" workbookViewId="0">
      <selection activeCell="Q10" sqref="Q10"/>
    </sheetView>
  </sheetViews>
  <sheetFormatPr baseColWidth="10" defaultColWidth="9.1640625" defaultRowHeight="15" x14ac:dyDescent="0.2"/>
  <cols>
    <col min="1" max="1" width="9.1640625" style="6"/>
    <col min="2" max="2" width="11.1640625" style="6" customWidth="1"/>
    <col min="3" max="3" width="3.83203125" style="6" customWidth="1"/>
    <col min="4" max="9" width="12.6640625" style="6" customWidth="1"/>
    <col min="10" max="10" width="14.33203125" style="6" customWidth="1"/>
    <col min="11" max="17" width="12.6640625" style="6" customWidth="1"/>
    <col min="18" max="18" width="12.5" style="6" customWidth="1"/>
    <col min="19" max="16384" width="9.1640625" style="6"/>
  </cols>
  <sheetData>
    <row r="3" spans="2:17" ht="16" x14ac:dyDescent="0.2">
      <c r="B3" s="6" t="s">
        <v>0</v>
      </c>
      <c r="D3" s="9" t="s">
        <v>1</v>
      </c>
      <c r="E3" s="9" t="s">
        <v>2</v>
      </c>
      <c r="F3" s="9" t="s">
        <v>3</v>
      </c>
      <c r="G3" s="10" t="s">
        <v>4</v>
      </c>
      <c r="H3" s="9" t="s">
        <v>5</v>
      </c>
      <c r="I3" s="9" t="s">
        <v>6</v>
      </c>
      <c r="J3" s="9" t="s">
        <v>7</v>
      </c>
      <c r="K3" s="10" t="s">
        <v>4</v>
      </c>
      <c r="L3" s="9" t="s">
        <v>8</v>
      </c>
      <c r="M3" s="9" t="s">
        <v>9</v>
      </c>
      <c r="N3" s="9" t="s">
        <v>10</v>
      </c>
      <c r="O3" s="9" t="s">
        <v>11</v>
      </c>
      <c r="P3" s="10" t="s">
        <v>4</v>
      </c>
      <c r="Q3" s="8" t="s">
        <v>12</v>
      </c>
    </row>
    <row r="4" spans="2:17" x14ac:dyDescent="0.2">
      <c r="D4" s="11"/>
      <c r="E4" s="11"/>
      <c r="F4" s="11"/>
      <c r="G4" s="12"/>
      <c r="H4" s="11"/>
      <c r="I4" s="11"/>
      <c r="J4" s="11"/>
      <c r="K4" s="12"/>
      <c r="L4" s="11"/>
      <c r="M4" s="11"/>
      <c r="N4" s="11"/>
      <c r="O4" s="11"/>
      <c r="P4" s="12"/>
    </row>
    <row r="5" spans="2:17" ht="16" x14ac:dyDescent="0.2">
      <c r="B5" s="6" t="s">
        <v>13</v>
      </c>
      <c r="D5" s="47" t="s">
        <v>14</v>
      </c>
      <c r="E5" s="48"/>
      <c r="F5" s="49"/>
      <c r="G5" s="13"/>
      <c r="H5" s="50" t="s">
        <v>15</v>
      </c>
      <c r="I5" s="51"/>
      <c r="J5" s="52"/>
      <c r="K5" s="13"/>
      <c r="L5" s="50" t="s">
        <v>16</v>
      </c>
      <c r="M5" s="51"/>
      <c r="N5" s="52"/>
      <c r="O5" s="14"/>
      <c r="P5" s="13"/>
      <c r="Q5" s="3"/>
    </row>
    <row r="6" spans="2:17" ht="16" x14ac:dyDescent="0.2">
      <c r="D6" s="18"/>
      <c r="E6" s="18"/>
      <c r="F6" s="18"/>
      <c r="G6" s="13"/>
      <c r="H6" s="14"/>
      <c r="I6" s="14"/>
      <c r="J6" s="14"/>
      <c r="K6" s="13"/>
      <c r="L6" s="14"/>
      <c r="M6" s="14"/>
      <c r="N6" s="14"/>
      <c r="O6" s="14" t="s">
        <v>17</v>
      </c>
      <c r="P6" s="13"/>
      <c r="Q6" s="3"/>
    </row>
    <row r="7" spans="2:17" ht="48" x14ac:dyDescent="0.2">
      <c r="B7" s="6" t="s">
        <v>18</v>
      </c>
      <c r="D7" s="18" t="s">
        <v>19</v>
      </c>
      <c r="E7" s="18" t="s">
        <v>20</v>
      </c>
      <c r="F7" s="18" t="s">
        <v>21</v>
      </c>
      <c r="G7" s="13"/>
      <c r="H7" s="14" t="s">
        <v>22</v>
      </c>
      <c r="I7" s="14" t="s">
        <v>23</v>
      </c>
      <c r="J7" s="14" t="s">
        <v>24</v>
      </c>
      <c r="K7" s="13"/>
      <c r="L7" s="14" t="s">
        <v>25</v>
      </c>
      <c r="M7" s="14" t="s">
        <v>26</v>
      </c>
      <c r="N7" s="14" t="s">
        <v>27</v>
      </c>
      <c r="O7" s="11"/>
      <c r="P7" s="13"/>
      <c r="Q7" s="3"/>
    </row>
    <row r="8" spans="2:17" x14ac:dyDescent="0.2">
      <c r="D8" s="3"/>
      <c r="E8" s="3"/>
      <c r="F8" s="3"/>
      <c r="G8" s="3"/>
      <c r="H8" s="3"/>
      <c r="I8" s="3"/>
      <c r="J8" s="3"/>
      <c r="K8" s="3"/>
      <c r="L8" s="3"/>
      <c r="M8" s="3"/>
      <c r="N8" s="3"/>
      <c r="O8" s="3"/>
      <c r="P8" s="3"/>
      <c r="Q8" s="3"/>
    </row>
    <row r="9" spans="2:17" ht="16" x14ac:dyDescent="0.2">
      <c r="B9" s="4" t="s">
        <v>28</v>
      </c>
      <c r="D9" s="3"/>
      <c r="J9" s="3"/>
      <c r="K9" s="3"/>
      <c r="L9" s="3"/>
      <c r="M9" s="3"/>
      <c r="N9" s="3"/>
      <c r="O9" s="15"/>
      <c r="P9" s="15"/>
      <c r="Q9" s="7" t="s">
        <v>28</v>
      </c>
    </row>
    <row r="10" spans="2:17" x14ac:dyDescent="0.2">
      <c r="B10" s="4"/>
      <c r="D10" s="3"/>
      <c r="E10" s="3"/>
      <c r="F10" s="3"/>
      <c r="G10" s="3"/>
      <c r="H10" s="3"/>
      <c r="I10" s="3"/>
      <c r="J10" s="3"/>
      <c r="K10" s="3"/>
      <c r="L10" s="3"/>
      <c r="M10" s="3"/>
      <c r="N10" s="3"/>
      <c r="O10" s="3"/>
      <c r="P10" s="3"/>
      <c r="Q10" s="3"/>
    </row>
    <row r="11" spans="2:17" ht="48" x14ac:dyDescent="0.2">
      <c r="B11" s="4" t="s">
        <v>29</v>
      </c>
      <c r="D11" s="3"/>
      <c r="E11" s="23"/>
      <c r="F11" s="24"/>
      <c r="G11" s="26"/>
      <c r="H11" s="25" t="s">
        <v>30</v>
      </c>
      <c r="I11" s="23"/>
      <c r="J11" s="24"/>
      <c r="K11" s="26"/>
      <c r="L11" s="25" t="s">
        <v>31</v>
      </c>
      <c r="M11" s="23"/>
      <c r="N11" s="24"/>
      <c r="O11" s="25" t="s">
        <v>32</v>
      </c>
      <c r="P11" s="3"/>
      <c r="Q11" s="3"/>
    </row>
    <row r="12" spans="2:17" x14ac:dyDescent="0.2">
      <c r="B12" s="4"/>
      <c r="D12" s="3"/>
      <c r="E12" s="3"/>
      <c r="F12" s="3"/>
      <c r="G12" s="3"/>
      <c r="H12" s="3"/>
      <c r="I12" s="3"/>
      <c r="J12" s="3"/>
      <c r="K12" s="3"/>
      <c r="L12" s="3"/>
      <c r="M12" s="3"/>
      <c r="N12" s="3"/>
      <c r="O12" s="3"/>
      <c r="P12" s="3"/>
      <c r="Q12" s="3"/>
    </row>
    <row r="13" spans="2:17" ht="32" x14ac:dyDescent="0.2">
      <c r="B13" s="43" t="s">
        <v>33</v>
      </c>
      <c r="E13" s="21" t="s">
        <v>34</v>
      </c>
      <c r="F13" s="21" t="s">
        <v>35</v>
      </c>
      <c r="H13" s="21" t="s">
        <v>36</v>
      </c>
      <c r="I13" s="21" t="s">
        <v>37</v>
      </c>
      <c r="J13" s="21" t="s">
        <v>38</v>
      </c>
      <c r="L13" s="21" t="s">
        <v>39</v>
      </c>
      <c r="M13" s="21" t="s">
        <v>40</v>
      </c>
      <c r="N13" s="21" t="s">
        <v>41</v>
      </c>
      <c r="O13" s="21" t="s">
        <v>42</v>
      </c>
      <c r="P13" s="3"/>
      <c r="Q13" s="3"/>
    </row>
  </sheetData>
  <mergeCells count="3">
    <mergeCell ref="D5:F5"/>
    <mergeCell ref="H5:J5"/>
    <mergeCell ref="L5:N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11E4D-EBBF-497B-AA9C-1302C8D74AA6}">
  <dimension ref="B2:O130"/>
  <sheetViews>
    <sheetView zoomScale="70" zoomScaleNormal="70" workbookViewId="0">
      <pane xSplit="5" ySplit="2" topLeftCell="F3" activePane="bottomRight" state="frozen"/>
      <selection pane="topRight" activeCell="F1" sqref="F1"/>
      <selection pane="bottomLeft" activeCell="A3" sqref="A3"/>
      <selection pane="bottomRight" activeCell="G4" sqref="G4"/>
    </sheetView>
  </sheetViews>
  <sheetFormatPr baseColWidth="10" defaultColWidth="8.83203125" defaultRowHeight="15" x14ac:dyDescent="0.2"/>
  <cols>
    <col min="2" max="2" width="19" customWidth="1"/>
    <col min="3" max="3" width="15.83203125" customWidth="1"/>
    <col min="4" max="4" width="6.83203125" customWidth="1"/>
    <col min="5" max="7" width="51.83203125" customWidth="1"/>
    <col min="8" max="8" width="43" customWidth="1"/>
    <col min="9" max="10" width="78.83203125" customWidth="1"/>
    <col min="11" max="11" width="50.33203125" bestFit="1" customWidth="1"/>
    <col min="12" max="12" width="8.6640625" customWidth="1"/>
    <col min="13" max="13" width="78.83203125" customWidth="1"/>
    <col min="14" max="14" width="26.83203125" bestFit="1" customWidth="1"/>
    <col min="15" max="15" width="26.83203125" customWidth="1"/>
  </cols>
  <sheetData>
    <row r="2" spans="2:15" x14ac:dyDescent="0.2">
      <c r="B2" s="2" t="s">
        <v>13</v>
      </c>
      <c r="C2" s="2" t="s">
        <v>18</v>
      </c>
      <c r="D2" s="2" t="s">
        <v>43</v>
      </c>
      <c r="E2" s="2" t="s">
        <v>44</v>
      </c>
      <c r="F2" s="2" t="s">
        <v>45</v>
      </c>
      <c r="G2" s="2" t="s">
        <v>46</v>
      </c>
      <c r="H2" s="2" t="s">
        <v>47</v>
      </c>
      <c r="I2" s="2" t="s">
        <v>48</v>
      </c>
      <c r="J2" s="2" t="s">
        <v>49</v>
      </c>
      <c r="K2" s="2" t="s">
        <v>50</v>
      </c>
      <c r="L2" s="2" t="s">
        <v>51</v>
      </c>
      <c r="M2" s="2" t="s">
        <v>52</v>
      </c>
      <c r="N2" s="2" t="s">
        <v>53</v>
      </c>
      <c r="O2" s="2" t="s">
        <v>54</v>
      </c>
    </row>
    <row r="3" spans="2:15" ht="176" x14ac:dyDescent="0.2">
      <c r="B3" s="53" t="s">
        <v>14</v>
      </c>
      <c r="C3" s="3" t="s">
        <v>19</v>
      </c>
      <c r="D3" s="1">
        <v>1</v>
      </c>
      <c r="E3" s="39" t="s">
        <v>55</v>
      </c>
      <c r="F3" s="34" t="s">
        <v>56</v>
      </c>
      <c r="G3" s="4" t="s">
        <v>57</v>
      </c>
      <c r="H3" s="4" t="s">
        <v>58</v>
      </c>
      <c r="I3" s="4" t="s">
        <v>59</v>
      </c>
      <c r="J3" s="5" t="s">
        <v>60</v>
      </c>
      <c r="K3" s="4" t="s">
        <v>61</v>
      </c>
      <c r="L3" s="1">
        <v>3</v>
      </c>
      <c r="M3" s="4" t="s">
        <v>62</v>
      </c>
      <c r="N3" s="1">
        <v>4</v>
      </c>
      <c r="O3" s="1">
        <f>L3+N3</f>
        <v>7</v>
      </c>
    </row>
    <row r="4" spans="2:15" ht="209.25" customHeight="1" x14ac:dyDescent="0.2">
      <c r="B4" s="53"/>
      <c r="C4" s="3" t="s">
        <v>20</v>
      </c>
      <c r="D4" s="1">
        <v>2</v>
      </c>
      <c r="E4" s="39" t="s">
        <v>63</v>
      </c>
      <c r="F4" s="34" t="s">
        <v>64</v>
      </c>
      <c r="G4" s="41" t="s">
        <v>65</v>
      </c>
      <c r="H4" s="4" t="s">
        <v>66</v>
      </c>
      <c r="I4" s="5" t="s">
        <v>67</v>
      </c>
      <c r="J4" s="5" t="s">
        <v>68</v>
      </c>
      <c r="K4" s="5" t="s">
        <v>69</v>
      </c>
      <c r="L4" s="1">
        <v>3</v>
      </c>
      <c r="M4" s="4" t="s">
        <v>70</v>
      </c>
      <c r="N4" s="1">
        <v>9</v>
      </c>
      <c r="O4" s="1">
        <f t="shared" ref="O4:O12" si="0">L4+N4</f>
        <v>12</v>
      </c>
    </row>
    <row r="5" spans="2:15" ht="112" x14ac:dyDescent="0.2">
      <c r="B5" s="53"/>
      <c r="C5" s="3" t="s">
        <v>21</v>
      </c>
      <c r="D5" s="1">
        <v>3</v>
      </c>
      <c r="E5" s="39" t="s">
        <v>71</v>
      </c>
      <c r="F5" s="34" t="s">
        <v>72</v>
      </c>
      <c r="G5" s="34" t="s">
        <v>73</v>
      </c>
      <c r="H5" s="40"/>
      <c r="I5" s="4" t="s">
        <v>74</v>
      </c>
      <c r="J5" s="5" t="s">
        <v>75</v>
      </c>
      <c r="K5" s="4" t="s">
        <v>76</v>
      </c>
      <c r="L5" s="1">
        <v>3</v>
      </c>
      <c r="M5" s="4" t="s">
        <v>77</v>
      </c>
      <c r="N5" s="1">
        <v>9</v>
      </c>
      <c r="O5" s="1">
        <f t="shared" si="0"/>
        <v>12</v>
      </c>
    </row>
    <row r="6" spans="2:15" ht="128" x14ac:dyDescent="0.2">
      <c r="B6" s="53" t="s">
        <v>15</v>
      </c>
      <c r="C6" s="3" t="s">
        <v>22</v>
      </c>
      <c r="D6" s="1">
        <v>4</v>
      </c>
      <c r="E6" s="4" t="s">
        <v>78</v>
      </c>
      <c r="F6" s="5" t="s">
        <v>79</v>
      </c>
      <c r="G6" s="5" t="s">
        <v>80</v>
      </c>
      <c r="H6" s="4" t="s">
        <v>81</v>
      </c>
      <c r="I6" s="4" t="s">
        <v>82</v>
      </c>
      <c r="J6" s="5" t="s">
        <v>83</v>
      </c>
      <c r="K6" s="4" t="s">
        <v>84</v>
      </c>
      <c r="L6" s="1">
        <v>3</v>
      </c>
      <c r="M6" s="4" t="s">
        <v>85</v>
      </c>
      <c r="N6" s="1">
        <v>9</v>
      </c>
      <c r="O6" s="1">
        <f t="shared" si="0"/>
        <v>12</v>
      </c>
    </row>
    <row r="7" spans="2:15" ht="192" x14ac:dyDescent="0.2">
      <c r="B7" s="53"/>
      <c r="C7" s="3" t="s">
        <v>23</v>
      </c>
      <c r="D7" s="1">
        <v>5</v>
      </c>
      <c r="E7" s="40" t="s">
        <v>86</v>
      </c>
      <c r="F7" s="5" t="s">
        <v>87</v>
      </c>
      <c r="G7" s="5" t="s">
        <v>88</v>
      </c>
      <c r="H7" s="46"/>
      <c r="I7" s="4" t="s">
        <v>89</v>
      </c>
      <c r="J7" s="5" t="s">
        <v>90</v>
      </c>
      <c r="K7" s="4" t="s">
        <v>91</v>
      </c>
      <c r="L7" s="1">
        <v>3</v>
      </c>
      <c r="M7" s="4" t="s">
        <v>92</v>
      </c>
      <c r="N7" s="1">
        <v>4</v>
      </c>
      <c r="O7" s="1">
        <f t="shared" si="0"/>
        <v>7</v>
      </c>
    </row>
    <row r="8" spans="2:15" ht="96" x14ac:dyDescent="0.2">
      <c r="B8" s="53"/>
      <c r="C8" s="3" t="s">
        <v>24</v>
      </c>
      <c r="D8" s="1">
        <v>6</v>
      </c>
      <c r="E8" s="4" t="s">
        <v>93</v>
      </c>
      <c r="F8" s="5" t="s">
        <v>94</v>
      </c>
      <c r="G8" s="5" t="s">
        <v>95</v>
      </c>
      <c r="H8" s="46"/>
      <c r="I8" s="4" t="s">
        <v>96</v>
      </c>
      <c r="J8" s="5" t="s">
        <v>97</v>
      </c>
      <c r="K8" s="4" t="s">
        <v>98</v>
      </c>
      <c r="L8" s="1">
        <v>3</v>
      </c>
      <c r="M8" s="4" t="s">
        <v>99</v>
      </c>
      <c r="N8" s="1">
        <v>9</v>
      </c>
      <c r="O8" s="1">
        <f t="shared" si="0"/>
        <v>12</v>
      </c>
    </row>
    <row r="9" spans="2:15" ht="152.25" customHeight="1" x14ac:dyDescent="0.2">
      <c r="B9" s="53" t="s">
        <v>16</v>
      </c>
      <c r="C9" s="3" t="s">
        <v>24</v>
      </c>
      <c r="D9" s="1">
        <v>7</v>
      </c>
      <c r="E9" s="4" t="s">
        <v>100</v>
      </c>
      <c r="F9" s="5" t="s">
        <v>101</v>
      </c>
      <c r="G9" s="5" t="s">
        <v>102</v>
      </c>
      <c r="I9" s="4"/>
      <c r="J9" s="5" t="s">
        <v>103</v>
      </c>
      <c r="K9" s="4" t="s">
        <v>104</v>
      </c>
      <c r="L9" s="1">
        <v>3</v>
      </c>
      <c r="M9" s="4" t="s">
        <v>105</v>
      </c>
      <c r="N9" s="1">
        <v>9</v>
      </c>
      <c r="O9" s="1">
        <f t="shared" si="0"/>
        <v>12</v>
      </c>
    </row>
    <row r="10" spans="2:15" ht="160" x14ac:dyDescent="0.2">
      <c r="B10" s="53"/>
      <c r="C10" s="3" t="s">
        <v>26</v>
      </c>
      <c r="D10" s="1">
        <v>8</v>
      </c>
      <c r="E10" s="4" t="s">
        <v>106</v>
      </c>
      <c r="F10" s="5" t="s">
        <v>107</v>
      </c>
      <c r="G10" s="5" t="s">
        <v>108</v>
      </c>
      <c r="I10" s="4"/>
      <c r="J10" s="5" t="s">
        <v>109</v>
      </c>
      <c r="K10" s="4" t="s">
        <v>110</v>
      </c>
      <c r="L10" s="1">
        <v>3</v>
      </c>
      <c r="M10" s="5" t="s">
        <v>111</v>
      </c>
      <c r="N10" s="1">
        <v>9</v>
      </c>
      <c r="O10" s="1">
        <f t="shared" si="0"/>
        <v>12</v>
      </c>
    </row>
    <row r="11" spans="2:15" ht="96" x14ac:dyDescent="0.2">
      <c r="B11" s="53"/>
      <c r="C11" s="3" t="s">
        <v>27</v>
      </c>
      <c r="D11" s="1">
        <v>9</v>
      </c>
      <c r="E11" s="4" t="s">
        <v>112</v>
      </c>
      <c r="F11" s="5" t="s">
        <v>113</v>
      </c>
      <c r="G11" s="5" t="s">
        <v>114</v>
      </c>
      <c r="I11" s="4"/>
      <c r="J11" s="5" t="s">
        <v>115</v>
      </c>
      <c r="K11" s="4" t="s">
        <v>116</v>
      </c>
      <c r="L11" s="1">
        <v>3</v>
      </c>
      <c r="M11" s="4" t="s">
        <v>117</v>
      </c>
      <c r="N11" s="1">
        <v>9</v>
      </c>
      <c r="O11" s="1">
        <f t="shared" si="0"/>
        <v>12</v>
      </c>
    </row>
    <row r="12" spans="2:15" ht="15" customHeight="1" x14ac:dyDescent="0.2">
      <c r="D12" s="1">
        <v>10</v>
      </c>
      <c r="E12" s="4"/>
      <c r="F12" s="5"/>
      <c r="G12" s="4"/>
      <c r="I12" s="4"/>
      <c r="J12" s="5" t="s">
        <v>112</v>
      </c>
      <c r="K12" s="4"/>
      <c r="L12" s="1">
        <v>3</v>
      </c>
      <c r="M12" s="4" t="s">
        <v>118</v>
      </c>
      <c r="N12" s="1">
        <v>5</v>
      </c>
      <c r="O12" s="1">
        <f t="shared" si="0"/>
        <v>8</v>
      </c>
    </row>
    <row r="13" spans="2:15" ht="15" customHeight="1" x14ac:dyDescent="0.2">
      <c r="D13" s="1" t="s">
        <v>119</v>
      </c>
      <c r="E13" s="4"/>
      <c r="F13" s="5"/>
      <c r="G13" s="4"/>
      <c r="I13" s="4"/>
      <c r="J13" s="5"/>
      <c r="K13" s="4"/>
      <c r="M13" s="4" t="s">
        <v>120</v>
      </c>
      <c r="N13" s="1">
        <v>30</v>
      </c>
      <c r="O13" s="1">
        <f>L13+N13</f>
        <v>30</v>
      </c>
    </row>
    <row r="14" spans="2:15" x14ac:dyDescent="0.2">
      <c r="E14" s="4"/>
      <c r="F14" s="5"/>
      <c r="G14" s="4"/>
      <c r="I14" s="4"/>
      <c r="J14" s="5"/>
      <c r="K14" s="4"/>
      <c r="M14" s="4"/>
    </row>
    <row r="15" spans="2:15" x14ac:dyDescent="0.2">
      <c r="E15" s="4"/>
      <c r="F15" s="5"/>
      <c r="G15" s="4"/>
      <c r="I15" s="4"/>
      <c r="J15" s="5"/>
      <c r="K15" s="4"/>
      <c r="M15" s="4"/>
      <c r="N15" t="s">
        <v>121</v>
      </c>
      <c r="O15">
        <f>SUM(O3:O13)</f>
        <v>136</v>
      </c>
    </row>
    <row r="16" spans="2:15" ht="15" customHeight="1" x14ac:dyDescent="0.2">
      <c r="E16" s="4"/>
      <c r="F16" s="5"/>
      <c r="G16" s="4"/>
      <c r="I16" s="4"/>
      <c r="K16" s="4"/>
      <c r="M16" s="4"/>
    </row>
    <row r="17" spans="5:13" ht="15" customHeight="1" x14ac:dyDescent="0.2">
      <c r="E17" s="4"/>
      <c r="G17" s="4"/>
      <c r="K17" s="4"/>
      <c r="M17" s="4"/>
    </row>
    <row r="18" spans="5:13" x14ac:dyDescent="0.2">
      <c r="E18" s="4"/>
      <c r="G18" s="4"/>
      <c r="J18" s="5"/>
      <c r="K18" s="4"/>
      <c r="M18" s="4"/>
    </row>
    <row r="19" spans="5:13" x14ac:dyDescent="0.2">
      <c r="E19" s="40"/>
      <c r="G19" s="5"/>
      <c r="J19" s="5"/>
      <c r="K19" s="4"/>
      <c r="M19" s="4"/>
    </row>
    <row r="20" spans="5:13" x14ac:dyDescent="0.2">
      <c r="J20" s="5"/>
      <c r="M20" s="4"/>
    </row>
    <row r="21" spans="5:13" x14ac:dyDescent="0.2">
      <c r="F21" s="5"/>
      <c r="J21" s="5"/>
      <c r="M21" s="5"/>
    </row>
    <row r="22" spans="5:13" x14ac:dyDescent="0.2">
      <c r="F22" s="5"/>
      <c r="M22" s="5"/>
    </row>
    <row r="23" spans="5:13" x14ac:dyDescent="0.2">
      <c r="F23" s="36"/>
      <c r="M23" s="5"/>
    </row>
    <row r="24" spans="5:13" x14ac:dyDescent="0.2">
      <c r="J24" s="5"/>
      <c r="M24" s="5"/>
    </row>
    <row r="25" spans="5:13" x14ac:dyDescent="0.2">
      <c r="J25" s="5"/>
      <c r="M25" s="5"/>
    </row>
    <row r="26" spans="5:13" x14ac:dyDescent="0.2">
      <c r="J26" s="5"/>
    </row>
    <row r="27" spans="5:13" x14ac:dyDescent="0.2">
      <c r="F27" s="37"/>
      <c r="J27" s="5"/>
    </row>
    <row r="28" spans="5:13" x14ac:dyDescent="0.2">
      <c r="F28" s="37"/>
    </row>
    <row r="29" spans="5:13" x14ac:dyDescent="0.2">
      <c r="F29" s="37"/>
    </row>
    <row r="30" spans="5:13" x14ac:dyDescent="0.2">
      <c r="J30" s="5"/>
    </row>
    <row r="31" spans="5:13" x14ac:dyDescent="0.2">
      <c r="J31" s="5"/>
    </row>
    <row r="32" spans="5:13" x14ac:dyDescent="0.2">
      <c r="J32" s="5"/>
    </row>
    <row r="33" spans="2:15" x14ac:dyDescent="0.2">
      <c r="J33" s="5"/>
    </row>
    <row r="34" spans="2:15" x14ac:dyDescent="0.2">
      <c r="J34" s="5"/>
    </row>
    <row r="35" spans="2:15" x14ac:dyDescent="0.2">
      <c r="F35" s="5"/>
    </row>
    <row r="36" spans="2:15" x14ac:dyDescent="0.2">
      <c r="F36" s="5"/>
    </row>
    <row r="37" spans="2:15" x14ac:dyDescent="0.2">
      <c r="F37" s="5"/>
      <c r="J37" s="5"/>
    </row>
    <row r="38" spans="2:15" x14ac:dyDescent="0.2">
      <c r="F38" s="5"/>
      <c r="J38" s="5"/>
    </row>
    <row r="39" spans="2:15" x14ac:dyDescent="0.2">
      <c r="J39" s="5"/>
    </row>
    <row r="40" spans="2:15" x14ac:dyDescent="0.2">
      <c r="J40" s="5"/>
    </row>
    <row r="41" spans="2:15" ht="32" x14ac:dyDescent="0.2">
      <c r="B41" s="56" t="s">
        <v>14</v>
      </c>
      <c r="C41" s="56" t="s">
        <v>122</v>
      </c>
      <c r="D41" s="56">
        <v>1</v>
      </c>
      <c r="E41" s="57" t="s">
        <v>55</v>
      </c>
      <c r="F41" s="34" t="s">
        <v>123</v>
      </c>
      <c r="G41" s="20"/>
      <c r="H41" s="16"/>
      <c r="I41" s="54" t="s">
        <v>59</v>
      </c>
      <c r="J41" s="5" t="s">
        <v>124</v>
      </c>
      <c r="K41" s="54" t="s">
        <v>61</v>
      </c>
      <c r="L41" s="54">
        <v>3</v>
      </c>
      <c r="M41" s="54" t="s">
        <v>62</v>
      </c>
      <c r="N41" s="55">
        <v>4</v>
      </c>
      <c r="O41" s="55" t="e">
        <f>#REF!/60+L41+N41</f>
        <v>#REF!</v>
      </c>
    </row>
    <row r="42" spans="2:15" ht="32" x14ac:dyDescent="0.2">
      <c r="B42" s="56"/>
      <c r="C42" s="56"/>
      <c r="D42" s="56"/>
      <c r="E42" s="57"/>
      <c r="F42" s="34" t="s">
        <v>125</v>
      </c>
      <c r="G42" s="20"/>
      <c r="H42" s="16"/>
      <c r="I42" s="54"/>
      <c r="J42" s="5" t="s">
        <v>126</v>
      </c>
      <c r="K42" s="54"/>
      <c r="L42" s="54"/>
      <c r="M42" s="54"/>
      <c r="N42" s="55"/>
      <c r="O42" s="55"/>
    </row>
    <row r="43" spans="2:15" ht="32" x14ac:dyDescent="0.2">
      <c r="B43" s="56"/>
      <c r="C43" s="56"/>
      <c r="D43" s="56"/>
      <c r="E43" s="57"/>
      <c r="F43" s="34" t="s">
        <v>127</v>
      </c>
      <c r="G43" s="20"/>
      <c r="I43" s="54"/>
      <c r="J43" s="5" t="s">
        <v>128</v>
      </c>
      <c r="K43" s="54"/>
      <c r="L43" s="54"/>
      <c r="M43" s="54"/>
      <c r="N43" s="55"/>
      <c r="O43" s="55"/>
    </row>
    <row r="44" spans="2:15" ht="32" x14ac:dyDescent="0.2">
      <c r="B44" s="56"/>
      <c r="C44" s="56"/>
      <c r="D44" s="56"/>
      <c r="E44" s="57"/>
      <c r="F44" s="34" t="s">
        <v>129</v>
      </c>
      <c r="G44" s="20"/>
      <c r="I44" s="54"/>
      <c r="J44" s="5" t="s">
        <v>130</v>
      </c>
      <c r="K44" s="54"/>
      <c r="L44" s="54"/>
      <c r="M44" s="54"/>
      <c r="N44" s="55"/>
      <c r="O44" s="55"/>
    </row>
    <row r="45" spans="2:15" ht="48" x14ac:dyDescent="0.2">
      <c r="B45" s="56"/>
      <c r="C45" s="56"/>
      <c r="D45" s="56"/>
      <c r="E45" s="57"/>
      <c r="F45" s="34" t="s">
        <v>131</v>
      </c>
      <c r="G45" s="20"/>
      <c r="I45" s="54"/>
      <c r="J45" s="5"/>
      <c r="K45" s="54"/>
      <c r="L45" s="54"/>
      <c r="M45" s="54"/>
      <c r="N45" s="55"/>
      <c r="O45" s="55"/>
    </row>
    <row r="46" spans="2:15" x14ac:dyDescent="0.2">
      <c r="B46" s="56"/>
      <c r="C46" s="20"/>
      <c r="D46" s="20"/>
      <c r="E46" s="17"/>
      <c r="F46" s="17"/>
      <c r="G46" s="17"/>
    </row>
    <row r="47" spans="2:15" ht="48" x14ac:dyDescent="0.2">
      <c r="B47" s="56"/>
      <c r="C47" s="56" t="s">
        <v>132</v>
      </c>
      <c r="D47" s="56">
        <v>2</v>
      </c>
      <c r="E47" s="57" t="s">
        <v>63</v>
      </c>
      <c r="F47" s="34" t="s">
        <v>133</v>
      </c>
      <c r="I47" s="54" t="s">
        <v>67</v>
      </c>
      <c r="J47" s="5" t="s">
        <v>134</v>
      </c>
      <c r="K47" s="54" t="s">
        <v>69</v>
      </c>
      <c r="L47" s="54">
        <v>3</v>
      </c>
      <c r="M47" s="54" t="s">
        <v>70</v>
      </c>
      <c r="N47" s="55">
        <v>9</v>
      </c>
      <c r="O47" s="55" t="e">
        <f>#REF!/60+L47+N47</f>
        <v>#REF!</v>
      </c>
    </row>
    <row r="48" spans="2:15" ht="48" x14ac:dyDescent="0.2">
      <c r="B48" s="56"/>
      <c r="C48" s="56"/>
      <c r="D48" s="56"/>
      <c r="E48" s="57"/>
      <c r="F48" s="34" t="s">
        <v>135</v>
      </c>
      <c r="G48" s="20"/>
      <c r="I48" s="54"/>
      <c r="J48" s="5" t="s">
        <v>136</v>
      </c>
      <c r="K48" s="54"/>
      <c r="L48" s="54"/>
      <c r="M48" s="54"/>
      <c r="N48" s="55"/>
      <c r="O48" s="55"/>
    </row>
    <row r="49" spans="2:15" ht="16" x14ac:dyDescent="0.2">
      <c r="B49" s="56"/>
      <c r="C49" s="56"/>
      <c r="D49" s="56"/>
      <c r="E49" s="57"/>
      <c r="F49" s="34" t="s">
        <v>137</v>
      </c>
      <c r="G49" s="35" t="s">
        <v>138</v>
      </c>
      <c r="I49" s="54"/>
      <c r="J49" s="5" t="s">
        <v>139</v>
      </c>
      <c r="K49" s="54"/>
      <c r="L49" s="54"/>
      <c r="M49" s="54"/>
      <c r="N49" s="55"/>
      <c r="O49" s="55"/>
    </row>
    <row r="50" spans="2:15" ht="16" x14ac:dyDescent="0.2">
      <c r="B50" s="56"/>
      <c r="C50" s="56"/>
      <c r="D50" s="56"/>
      <c r="E50" s="57"/>
      <c r="F50" s="34" t="s">
        <v>140</v>
      </c>
      <c r="G50" s="20"/>
      <c r="I50" s="54"/>
      <c r="J50" s="5"/>
      <c r="K50" s="54"/>
      <c r="L50" s="54"/>
      <c r="M50" s="54"/>
      <c r="N50" s="55"/>
      <c r="O50" s="55"/>
    </row>
    <row r="51" spans="2:15" x14ac:dyDescent="0.2">
      <c r="B51" s="56"/>
      <c r="C51" s="56"/>
      <c r="D51" s="56"/>
      <c r="E51" s="57"/>
      <c r="F51" s="34"/>
      <c r="G51" s="20"/>
      <c r="I51" s="54"/>
      <c r="J51" s="5"/>
      <c r="K51" s="54"/>
      <c r="L51" s="54"/>
      <c r="M51" s="54"/>
      <c r="N51" s="55"/>
      <c r="O51" s="55"/>
    </row>
    <row r="52" spans="2:15" x14ac:dyDescent="0.2">
      <c r="B52" s="56"/>
      <c r="C52" s="56"/>
      <c r="D52" s="56"/>
      <c r="E52" s="57"/>
      <c r="F52" s="34"/>
      <c r="G52" s="20"/>
      <c r="I52" s="54"/>
      <c r="J52" s="5"/>
      <c r="K52" s="54"/>
      <c r="L52" s="54"/>
      <c r="M52" s="54"/>
      <c r="N52" s="55"/>
      <c r="O52" s="55"/>
    </row>
    <row r="53" spans="2:15" x14ac:dyDescent="0.2">
      <c r="B53" s="56"/>
      <c r="C53" s="56"/>
      <c r="D53" s="56"/>
      <c r="E53" s="57"/>
      <c r="F53" s="34"/>
      <c r="G53" s="20"/>
      <c r="I53" s="54"/>
      <c r="J53" s="5"/>
      <c r="K53" s="54"/>
      <c r="L53" s="54"/>
      <c r="M53" s="54"/>
      <c r="N53" s="55"/>
      <c r="O53" s="55"/>
    </row>
    <row r="54" spans="2:15" x14ac:dyDescent="0.2">
      <c r="B54" s="56"/>
      <c r="C54" s="20"/>
      <c r="D54" s="20"/>
      <c r="E54" s="17"/>
      <c r="F54" s="17"/>
      <c r="G54" s="17"/>
    </row>
    <row r="55" spans="2:15" ht="32" x14ac:dyDescent="0.2">
      <c r="B55" s="56"/>
      <c r="C55" s="56" t="s">
        <v>141</v>
      </c>
      <c r="D55" s="56">
        <v>3</v>
      </c>
      <c r="E55" s="57" t="s">
        <v>71</v>
      </c>
      <c r="F55" s="34" t="s">
        <v>142</v>
      </c>
      <c r="G55" s="20" t="s">
        <v>73</v>
      </c>
      <c r="I55" s="54" t="s">
        <v>74</v>
      </c>
      <c r="J55" s="5" t="s">
        <v>143</v>
      </c>
      <c r="K55" s="54" t="s">
        <v>76</v>
      </c>
      <c r="L55" s="54">
        <v>3</v>
      </c>
      <c r="M55" s="54" t="s">
        <v>77</v>
      </c>
      <c r="N55" s="55">
        <v>9</v>
      </c>
      <c r="O55" s="55" t="e">
        <f>#REF!/60+L55+N55</f>
        <v>#REF!</v>
      </c>
    </row>
    <row r="56" spans="2:15" ht="32" x14ac:dyDescent="0.2">
      <c r="B56" s="56"/>
      <c r="C56" s="56"/>
      <c r="D56" s="56"/>
      <c r="E56" s="57"/>
      <c r="F56" s="34" t="s">
        <v>144</v>
      </c>
      <c r="G56" s="20"/>
      <c r="I56" s="54"/>
      <c r="J56" s="5"/>
      <c r="K56" s="54"/>
      <c r="L56" s="54"/>
      <c r="M56" s="54"/>
      <c r="N56" s="55"/>
      <c r="O56" s="55"/>
    </row>
    <row r="57" spans="2:15" ht="16" x14ac:dyDescent="0.2">
      <c r="B57" s="56"/>
      <c r="C57" s="56"/>
      <c r="D57" s="56"/>
      <c r="E57" s="57"/>
      <c r="F57" s="34" t="s">
        <v>145</v>
      </c>
      <c r="G57" s="20"/>
      <c r="I57" s="54"/>
      <c r="J57" s="5"/>
      <c r="K57" s="54"/>
      <c r="L57" s="54"/>
      <c r="M57" s="54"/>
      <c r="N57" s="55"/>
      <c r="O57" s="55"/>
    </row>
    <row r="58" spans="2:15" x14ac:dyDescent="0.2">
      <c r="B58" s="56"/>
      <c r="C58" s="56"/>
      <c r="D58" s="56"/>
      <c r="E58" s="57"/>
      <c r="F58" s="34"/>
      <c r="G58" s="20"/>
      <c r="I58" s="54"/>
      <c r="J58" s="5"/>
      <c r="K58" s="54"/>
      <c r="L58" s="54"/>
      <c r="M58" s="54"/>
      <c r="N58" s="55"/>
      <c r="O58" s="55"/>
    </row>
    <row r="59" spans="2:15" x14ac:dyDescent="0.2">
      <c r="B59" s="56"/>
      <c r="C59" s="56"/>
      <c r="D59" s="56"/>
      <c r="E59" s="57"/>
      <c r="F59" s="34"/>
      <c r="G59" s="20"/>
      <c r="I59" s="54"/>
      <c r="J59" s="5"/>
      <c r="K59" s="54"/>
      <c r="L59" s="54"/>
      <c r="M59" s="54"/>
      <c r="N59" s="55"/>
      <c r="O59" s="55"/>
    </row>
    <row r="61" spans="2:15" ht="32" x14ac:dyDescent="0.2">
      <c r="B61" s="55" t="s">
        <v>15</v>
      </c>
      <c r="C61" s="55" t="s">
        <v>146</v>
      </c>
      <c r="D61" s="55">
        <v>4</v>
      </c>
      <c r="E61" s="54" t="s">
        <v>78</v>
      </c>
      <c r="F61" s="5" t="s">
        <v>147</v>
      </c>
      <c r="G61" s="54" t="s">
        <v>80</v>
      </c>
      <c r="I61" s="54" t="s">
        <v>82</v>
      </c>
      <c r="J61" s="5" t="s">
        <v>148</v>
      </c>
      <c r="K61" s="54" t="s">
        <v>84</v>
      </c>
      <c r="L61" s="54">
        <v>3</v>
      </c>
      <c r="M61" s="54" t="s">
        <v>85</v>
      </c>
      <c r="N61" s="55">
        <v>9</v>
      </c>
      <c r="O61" s="55" t="e">
        <f>#REF!/60+L61+N61</f>
        <v>#REF!</v>
      </c>
    </row>
    <row r="62" spans="2:15" ht="16" x14ac:dyDescent="0.2">
      <c r="B62" s="55"/>
      <c r="C62" s="55"/>
      <c r="D62" s="55"/>
      <c r="E62" s="54"/>
      <c r="F62" s="5" t="s">
        <v>149</v>
      </c>
      <c r="G62" s="54"/>
      <c r="I62" s="54"/>
      <c r="J62" s="5"/>
      <c r="K62" s="54"/>
      <c r="L62" s="54"/>
      <c r="M62" s="54"/>
      <c r="N62" s="55"/>
      <c r="O62" s="55"/>
    </row>
    <row r="63" spans="2:15" ht="32" x14ac:dyDescent="0.2">
      <c r="B63" s="55"/>
      <c r="C63" s="55"/>
      <c r="D63" s="55"/>
      <c r="E63" s="54"/>
      <c r="F63" s="5" t="s">
        <v>150</v>
      </c>
      <c r="G63" s="54"/>
      <c r="H63" s="19"/>
      <c r="I63" s="54"/>
      <c r="J63" s="5"/>
      <c r="K63" s="54"/>
      <c r="L63" s="54"/>
      <c r="M63" s="54"/>
      <c r="N63" s="55"/>
      <c r="O63" s="55"/>
    </row>
    <row r="64" spans="2:15" x14ac:dyDescent="0.2">
      <c r="B64" s="55"/>
      <c r="C64" s="55"/>
      <c r="D64" s="55"/>
      <c r="E64" s="54"/>
      <c r="F64" s="5"/>
      <c r="G64" s="54"/>
      <c r="I64" s="54"/>
      <c r="J64" s="5"/>
      <c r="K64" s="54"/>
      <c r="L64" s="54"/>
      <c r="M64" s="54"/>
      <c r="N64" s="55"/>
      <c r="O64" s="55"/>
    </row>
    <row r="65" spans="2:15" x14ac:dyDescent="0.2">
      <c r="B65" s="55"/>
      <c r="C65" s="55"/>
      <c r="D65" s="55"/>
      <c r="E65" s="54"/>
      <c r="F65" s="5"/>
      <c r="G65" s="54"/>
      <c r="H65" s="17"/>
      <c r="I65" s="54"/>
      <c r="J65" s="5"/>
      <c r="K65" s="54"/>
      <c r="L65" s="54"/>
      <c r="M65" s="54"/>
      <c r="N65" s="55"/>
      <c r="O65" s="55"/>
    </row>
    <row r="66" spans="2:15" x14ac:dyDescent="0.2">
      <c r="B66" s="55"/>
      <c r="C66" s="3"/>
      <c r="D66" s="3"/>
      <c r="E66" s="36"/>
      <c r="F66" s="36"/>
    </row>
    <row r="67" spans="2:15" ht="32" x14ac:dyDescent="0.2">
      <c r="B67" s="55"/>
      <c r="C67" s="55" t="s">
        <v>151</v>
      </c>
      <c r="D67" s="55">
        <v>5</v>
      </c>
      <c r="E67" s="58" t="s">
        <v>86</v>
      </c>
      <c r="F67" s="5" t="s">
        <v>152</v>
      </c>
      <c r="G67" s="54" t="s">
        <v>153</v>
      </c>
      <c r="I67" s="54" t="s">
        <v>89</v>
      </c>
      <c r="J67" s="5" t="s">
        <v>90</v>
      </c>
      <c r="K67" s="54" t="s">
        <v>91</v>
      </c>
      <c r="L67" s="54">
        <v>3</v>
      </c>
      <c r="M67" s="54" t="s">
        <v>92</v>
      </c>
      <c r="N67" s="55">
        <v>4</v>
      </c>
      <c r="O67" s="55" t="e">
        <f>#REF!/60+L67+N67</f>
        <v>#REF!</v>
      </c>
    </row>
    <row r="68" spans="2:15" ht="32" x14ac:dyDescent="0.2">
      <c r="B68" s="55"/>
      <c r="C68" s="55"/>
      <c r="D68" s="55"/>
      <c r="E68" s="58"/>
      <c r="F68" s="5" t="s">
        <v>154</v>
      </c>
      <c r="G68" s="54"/>
      <c r="I68" s="54"/>
      <c r="J68" s="5"/>
      <c r="K68" s="54"/>
      <c r="L68" s="54"/>
      <c r="M68" s="54"/>
      <c r="N68" s="55"/>
      <c r="O68" s="55"/>
    </row>
    <row r="69" spans="2:15" ht="32" x14ac:dyDescent="0.2">
      <c r="B69" s="55"/>
      <c r="C69" s="55"/>
      <c r="D69" s="55"/>
      <c r="E69" s="58"/>
      <c r="F69" s="5" t="s">
        <v>155</v>
      </c>
      <c r="G69" s="54"/>
      <c r="I69" s="54"/>
      <c r="J69" s="5"/>
      <c r="K69" s="54"/>
      <c r="L69" s="54"/>
      <c r="M69" s="54"/>
      <c r="N69" s="55"/>
      <c r="O69" s="55"/>
    </row>
    <row r="70" spans="2:15" x14ac:dyDescent="0.2">
      <c r="B70" s="55"/>
      <c r="C70" s="55"/>
      <c r="D70" s="55"/>
      <c r="E70" s="58"/>
      <c r="F70" s="37"/>
      <c r="G70" s="54"/>
      <c r="I70" s="54"/>
      <c r="J70" s="5"/>
      <c r="K70" s="54"/>
      <c r="L70" s="54"/>
      <c r="M70" s="54"/>
      <c r="N70" s="55"/>
      <c r="O70" s="55"/>
    </row>
    <row r="71" spans="2:15" x14ac:dyDescent="0.2">
      <c r="B71" s="55"/>
      <c r="C71" s="55"/>
      <c r="D71" s="55"/>
      <c r="E71" s="58"/>
      <c r="F71" s="37"/>
      <c r="G71" s="54"/>
      <c r="I71" s="54"/>
      <c r="J71" s="5"/>
      <c r="K71" s="54"/>
      <c r="L71" s="54"/>
      <c r="M71" s="54"/>
      <c r="N71" s="55"/>
      <c r="O71" s="55"/>
    </row>
    <row r="72" spans="2:15" x14ac:dyDescent="0.2">
      <c r="B72" s="55"/>
      <c r="C72" s="55"/>
      <c r="D72" s="55"/>
      <c r="E72" s="58"/>
      <c r="F72" s="37"/>
      <c r="G72" s="54"/>
      <c r="I72" s="54"/>
      <c r="J72" s="5"/>
      <c r="K72" s="54"/>
      <c r="L72" s="54"/>
      <c r="M72" s="54"/>
      <c r="N72" s="55"/>
      <c r="O72" s="55"/>
    </row>
    <row r="73" spans="2:15" x14ac:dyDescent="0.2">
      <c r="B73" s="55"/>
      <c r="C73" s="3"/>
      <c r="D73" s="3"/>
    </row>
    <row r="74" spans="2:15" ht="32" x14ac:dyDescent="0.2">
      <c r="B74" s="55"/>
      <c r="C74" s="55" t="s">
        <v>156</v>
      </c>
      <c r="D74" s="55">
        <v>6</v>
      </c>
      <c r="E74" s="54" t="s">
        <v>93</v>
      </c>
      <c r="F74" s="5" t="s">
        <v>157</v>
      </c>
      <c r="G74" s="3" t="s">
        <v>158</v>
      </c>
      <c r="I74" s="54" t="s">
        <v>96</v>
      </c>
      <c r="J74" s="5" t="s">
        <v>97</v>
      </c>
      <c r="K74" s="54" t="s">
        <v>159</v>
      </c>
      <c r="L74" s="54">
        <v>3</v>
      </c>
      <c r="M74" s="54" t="s">
        <v>99</v>
      </c>
      <c r="N74" s="55">
        <v>9</v>
      </c>
      <c r="O74" s="55" t="e">
        <f>#REF!/60+L74+N74</f>
        <v>#REF!</v>
      </c>
    </row>
    <row r="75" spans="2:15" ht="32" x14ac:dyDescent="0.2">
      <c r="B75" s="55"/>
      <c r="C75" s="55"/>
      <c r="D75" s="55"/>
      <c r="E75" s="54"/>
      <c r="F75" s="5" t="s">
        <v>160</v>
      </c>
      <c r="G75" s="3" t="s">
        <v>161</v>
      </c>
      <c r="I75" s="54"/>
      <c r="J75" s="5"/>
      <c r="K75" s="54"/>
      <c r="L75" s="54"/>
      <c r="M75" s="54"/>
      <c r="N75" s="55"/>
      <c r="O75" s="55"/>
    </row>
    <row r="76" spans="2:15" ht="16" x14ac:dyDescent="0.2">
      <c r="B76" s="55"/>
      <c r="C76" s="55"/>
      <c r="D76" s="55"/>
      <c r="E76" s="54"/>
      <c r="F76" s="5" t="s">
        <v>162</v>
      </c>
      <c r="G76" s="3"/>
      <c r="I76" s="54"/>
      <c r="J76" s="5"/>
      <c r="K76" s="54"/>
      <c r="L76" s="54"/>
      <c r="M76" s="54"/>
      <c r="N76" s="55"/>
      <c r="O76" s="55"/>
    </row>
    <row r="77" spans="2:15" ht="16" x14ac:dyDescent="0.2">
      <c r="B77" s="55"/>
      <c r="C77" s="55"/>
      <c r="D77" s="55"/>
      <c r="E77" s="54"/>
      <c r="F77" s="5" t="s">
        <v>163</v>
      </c>
      <c r="G77" s="3"/>
      <c r="I77" s="54"/>
      <c r="J77" s="5"/>
      <c r="K77" s="54"/>
      <c r="L77" s="54"/>
      <c r="M77" s="54"/>
      <c r="N77" s="55"/>
      <c r="O77" s="55"/>
    </row>
    <row r="78" spans="2:15" x14ac:dyDescent="0.2">
      <c r="B78" s="55"/>
      <c r="C78" s="55"/>
      <c r="D78" s="55"/>
      <c r="E78" s="54"/>
      <c r="F78" s="5"/>
      <c r="G78" s="3"/>
      <c r="I78" s="54"/>
      <c r="J78" s="5"/>
      <c r="K78" s="54"/>
      <c r="L78" s="54"/>
      <c r="M78" s="54"/>
      <c r="N78" s="55"/>
      <c r="O78" s="55"/>
    </row>
    <row r="79" spans="2:15" x14ac:dyDescent="0.2">
      <c r="B79" s="55"/>
      <c r="C79" s="55"/>
      <c r="D79" s="55"/>
      <c r="E79" s="54"/>
      <c r="F79" s="5"/>
      <c r="G79" s="3"/>
      <c r="I79" s="54"/>
      <c r="J79" s="5"/>
      <c r="K79" s="54"/>
      <c r="L79" s="54"/>
      <c r="M79" s="54"/>
      <c r="N79" s="55"/>
      <c r="O79" s="55"/>
    </row>
    <row r="80" spans="2:15" x14ac:dyDescent="0.2">
      <c r="B80" s="55"/>
      <c r="C80" s="55"/>
      <c r="D80" s="55"/>
      <c r="E80" s="54"/>
      <c r="F80" s="5"/>
      <c r="G80" s="3"/>
      <c r="I80" s="54"/>
      <c r="J80" s="5"/>
      <c r="K80" s="54"/>
      <c r="L80" s="54"/>
      <c r="M80" s="54"/>
      <c r="N80" s="55"/>
      <c r="O80" s="55"/>
    </row>
    <row r="81" spans="2:15" x14ac:dyDescent="0.2">
      <c r="B81" s="55"/>
      <c r="C81" s="55"/>
      <c r="D81" s="55"/>
      <c r="E81" s="54"/>
      <c r="F81" s="5"/>
      <c r="G81" s="3"/>
      <c r="I81" s="54"/>
      <c r="J81" s="5"/>
      <c r="K81" s="54"/>
      <c r="L81" s="54"/>
      <c r="M81" s="54"/>
      <c r="N81" s="55"/>
      <c r="O81" s="55"/>
    </row>
    <row r="83" spans="2:15" ht="32" x14ac:dyDescent="0.2">
      <c r="B83" s="55" t="s">
        <v>16</v>
      </c>
      <c r="C83" s="55" t="s">
        <v>164</v>
      </c>
      <c r="D83" s="55">
        <v>7</v>
      </c>
      <c r="E83" s="54" t="s">
        <v>100</v>
      </c>
      <c r="F83" s="5" t="s">
        <v>165</v>
      </c>
      <c r="G83" s="54" t="s">
        <v>102</v>
      </c>
      <c r="H83" s="16"/>
      <c r="I83" s="54"/>
      <c r="J83" s="5" t="s">
        <v>166</v>
      </c>
      <c r="K83" s="54" t="s">
        <v>104</v>
      </c>
      <c r="L83" s="54">
        <v>3</v>
      </c>
      <c r="M83" s="54" t="s">
        <v>105</v>
      </c>
      <c r="N83" s="55">
        <v>9</v>
      </c>
      <c r="O83" s="55" t="e">
        <f>#REF!/60+L83+N83</f>
        <v>#REF!</v>
      </c>
    </row>
    <row r="84" spans="2:15" ht="32" x14ac:dyDescent="0.2">
      <c r="B84" s="55"/>
      <c r="C84" s="55"/>
      <c r="D84" s="55"/>
      <c r="E84" s="54"/>
      <c r="F84" s="5" t="s">
        <v>167</v>
      </c>
      <c r="G84" s="54"/>
      <c r="H84" s="16"/>
      <c r="I84" s="54"/>
      <c r="J84" s="5" t="s">
        <v>168</v>
      </c>
      <c r="K84" s="54"/>
      <c r="L84" s="54"/>
      <c r="M84" s="54"/>
      <c r="N84" s="55"/>
      <c r="O84" s="55"/>
    </row>
    <row r="85" spans="2:15" ht="32" x14ac:dyDescent="0.2">
      <c r="B85" s="55"/>
      <c r="C85" s="55"/>
      <c r="D85" s="55"/>
      <c r="E85" s="54"/>
      <c r="F85" s="5" t="s">
        <v>169</v>
      </c>
      <c r="G85" s="54"/>
      <c r="H85" s="16"/>
      <c r="I85" s="54"/>
      <c r="J85" s="5"/>
      <c r="K85" s="54"/>
      <c r="L85" s="54"/>
      <c r="M85" s="54"/>
      <c r="N85" s="55"/>
      <c r="O85" s="55"/>
    </row>
    <row r="86" spans="2:15" ht="32" x14ac:dyDescent="0.2">
      <c r="B86" s="55"/>
      <c r="C86" s="55"/>
      <c r="D86" s="55"/>
      <c r="E86" s="54"/>
      <c r="F86" s="5" t="s">
        <v>170</v>
      </c>
      <c r="G86" s="54"/>
      <c r="H86" s="16"/>
      <c r="I86" s="54"/>
      <c r="J86" s="5"/>
      <c r="K86" s="54"/>
      <c r="L86" s="54"/>
      <c r="M86" s="54"/>
      <c r="N86" s="55"/>
      <c r="O86" s="55"/>
    </row>
    <row r="87" spans="2:15" ht="32" x14ac:dyDescent="0.2">
      <c r="B87" s="55"/>
      <c r="C87" s="55"/>
      <c r="D87" s="55"/>
      <c r="E87" s="54"/>
      <c r="F87" s="5" t="s">
        <v>171</v>
      </c>
      <c r="G87" s="54"/>
      <c r="H87" s="16"/>
      <c r="I87" s="54"/>
      <c r="J87" s="5"/>
      <c r="K87" s="54"/>
      <c r="L87" s="54"/>
      <c r="M87" s="54"/>
      <c r="N87" s="55"/>
      <c r="O87" s="55"/>
    </row>
    <row r="88" spans="2:15" x14ac:dyDescent="0.2">
      <c r="B88" s="55"/>
      <c r="C88" s="55"/>
      <c r="D88" s="55"/>
      <c r="E88" s="54"/>
      <c r="F88" s="5"/>
      <c r="G88" s="54"/>
      <c r="H88" s="16"/>
      <c r="I88" s="54"/>
      <c r="J88" s="5"/>
      <c r="K88" s="54"/>
      <c r="L88" s="54"/>
      <c r="M88" s="54"/>
      <c r="N88" s="55"/>
      <c r="O88" s="55"/>
    </row>
    <row r="89" spans="2:15" x14ac:dyDescent="0.2">
      <c r="B89" s="55"/>
      <c r="C89" s="55"/>
      <c r="D89" s="55"/>
      <c r="E89" s="54"/>
      <c r="F89" s="5"/>
      <c r="G89" s="54"/>
      <c r="H89" s="16"/>
      <c r="I89" s="54"/>
      <c r="J89" s="5"/>
      <c r="K89" s="54"/>
      <c r="L89" s="54"/>
      <c r="M89" s="54"/>
      <c r="N89" s="55"/>
      <c r="O89" s="55"/>
    </row>
    <row r="90" spans="2:15" x14ac:dyDescent="0.2">
      <c r="B90" s="55"/>
      <c r="C90" s="3"/>
      <c r="D90" s="3"/>
    </row>
    <row r="91" spans="2:15" ht="32" x14ac:dyDescent="0.2">
      <c r="B91" s="55"/>
      <c r="C91" s="55" t="s">
        <v>172</v>
      </c>
      <c r="D91" s="55">
        <v>8</v>
      </c>
      <c r="E91" s="54" t="s">
        <v>106</v>
      </c>
      <c r="F91" s="5" t="s">
        <v>173</v>
      </c>
      <c r="G91" s="54" t="s">
        <v>108</v>
      </c>
      <c r="H91" s="16"/>
      <c r="I91" s="54"/>
      <c r="J91" s="5" t="s">
        <v>174</v>
      </c>
      <c r="K91" s="54" t="s">
        <v>110</v>
      </c>
      <c r="L91" s="54">
        <v>3</v>
      </c>
      <c r="M91" s="54" t="s">
        <v>111</v>
      </c>
      <c r="N91" s="55">
        <v>9</v>
      </c>
      <c r="O91" s="55" t="e">
        <f>#REF!/60+L91+N91</f>
        <v>#REF!</v>
      </c>
    </row>
    <row r="92" spans="2:15" ht="32" x14ac:dyDescent="0.2">
      <c r="B92" s="55"/>
      <c r="C92" s="55"/>
      <c r="D92" s="55"/>
      <c r="E92" s="54"/>
      <c r="F92" s="5" t="s">
        <v>175</v>
      </c>
      <c r="G92" s="54"/>
      <c r="H92" s="16"/>
      <c r="I92" s="54"/>
      <c r="J92" s="5" t="s">
        <v>176</v>
      </c>
      <c r="K92" s="54"/>
      <c r="L92" s="54"/>
      <c r="M92" s="54"/>
      <c r="N92" s="55"/>
      <c r="O92" s="55"/>
    </row>
    <row r="93" spans="2:15" ht="32" x14ac:dyDescent="0.2">
      <c r="B93" s="55"/>
      <c r="C93" s="55"/>
      <c r="D93" s="55"/>
      <c r="E93" s="54"/>
      <c r="F93" s="5" t="s">
        <v>177</v>
      </c>
      <c r="G93" s="54"/>
      <c r="H93" s="16"/>
      <c r="I93" s="54"/>
      <c r="J93" s="5" t="s">
        <v>178</v>
      </c>
      <c r="K93" s="54"/>
      <c r="L93" s="54"/>
      <c r="M93" s="54"/>
      <c r="N93" s="55"/>
      <c r="O93" s="55"/>
    </row>
    <row r="94" spans="2:15" ht="32" x14ac:dyDescent="0.2">
      <c r="B94" s="55"/>
      <c r="C94" s="55"/>
      <c r="D94" s="55"/>
      <c r="E94" s="54"/>
      <c r="F94" s="5" t="s">
        <v>179</v>
      </c>
      <c r="G94" s="54"/>
      <c r="H94" s="16"/>
      <c r="I94" s="54"/>
      <c r="J94" s="5" t="s">
        <v>180</v>
      </c>
      <c r="K94" s="54"/>
      <c r="L94" s="54"/>
      <c r="M94" s="54"/>
      <c r="N94" s="55"/>
      <c r="O94" s="55"/>
    </row>
    <row r="95" spans="2:15" ht="32" x14ac:dyDescent="0.2">
      <c r="B95" s="55"/>
      <c r="C95" s="55"/>
      <c r="D95" s="55"/>
      <c r="E95" s="54"/>
      <c r="F95" s="5" t="s">
        <v>181</v>
      </c>
      <c r="G95" s="54"/>
      <c r="H95" s="16"/>
      <c r="I95" s="54"/>
      <c r="J95" s="5"/>
      <c r="K95" s="54"/>
      <c r="L95" s="54"/>
      <c r="M95" s="54"/>
      <c r="N95" s="55"/>
      <c r="O95" s="55"/>
    </row>
    <row r="96" spans="2:15" x14ac:dyDescent="0.2">
      <c r="B96" s="55"/>
      <c r="C96" s="55"/>
      <c r="D96" s="55"/>
      <c r="E96" s="54"/>
      <c r="F96" s="5"/>
      <c r="G96" s="54"/>
      <c r="H96" s="16"/>
      <c r="I96" s="54"/>
      <c r="J96" s="5"/>
      <c r="K96" s="54"/>
      <c r="L96" s="54"/>
      <c r="M96" s="54"/>
      <c r="N96" s="55"/>
      <c r="O96" s="55"/>
    </row>
    <row r="97" spans="2:15" x14ac:dyDescent="0.2">
      <c r="B97" s="55"/>
      <c r="C97" s="55"/>
      <c r="D97" s="55"/>
      <c r="E97" s="54"/>
      <c r="F97" s="5"/>
      <c r="G97" s="54"/>
      <c r="H97" s="16"/>
      <c r="I97" s="54"/>
      <c r="J97" s="5"/>
      <c r="K97" s="54"/>
      <c r="L97" s="54"/>
      <c r="M97" s="54"/>
      <c r="N97" s="55"/>
      <c r="O97" s="55"/>
    </row>
    <row r="98" spans="2:15" x14ac:dyDescent="0.2">
      <c r="B98" s="55"/>
      <c r="C98" s="55"/>
      <c r="D98" s="55"/>
      <c r="E98" s="54"/>
      <c r="F98" s="5"/>
      <c r="G98" s="54"/>
      <c r="H98" s="16"/>
      <c r="I98" s="54"/>
      <c r="J98" s="5"/>
      <c r="K98" s="54"/>
      <c r="L98" s="54"/>
      <c r="M98" s="54"/>
      <c r="N98" s="55"/>
      <c r="O98" s="55"/>
    </row>
    <row r="99" spans="2:15" x14ac:dyDescent="0.2">
      <c r="B99" s="55"/>
      <c r="C99" s="55"/>
      <c r="D99" s="55"/>
      <c r="E99" s="54"/>
      <c r="F99" s="5"/>
      <c r="G99" s="54"/>
      <c r="H99" s="16"/>
      <c r="I99" s="54"/>
      <c r="J99" s="5"/>
      <c r="K99" s="54"/>
      <c r="L99" s="54"/>
      <c r="M99" s="54"/>
      <c r="N99" s="55"/>
      <c r="O99" s="55"/>
    </row>
    <row r="100" spans="2:15" x14ac:dyDescent="0.2">
      <c r="B100" s="55"/>
      <c r="C100" s="55"/>
      <c r="D100" s="55"/>
      <c r="E100" s="54"/>
      <c r="F100" s="5"/>
      <c r="G100" s="54"/>
      <c r="H100" s="16"/>
      <c r="I100" s="54"/>
      <c r="J100" s="5"/>
      <c r="K100" s="54"/>
      <c r="L100" s="54"/>
      <c r="M100" s="54"/>
      <c r="N100" s="55"/>
      <c r="O100" s="55"/>
    </row>
    <row r="101" spans="2:15" x14ac:dyDescent="0.2">
      <c r="B101" s="55"/>
      <c r="C101" s="3"/>
      <c r="D101" s="3"/>
    </row>
    <row r="102" spans="2:15" ht="16" x14ac:dyDescent="0.2">
      <c r="B102" s="55"/>
      <c r="C102" s="55" t="s">
        <v>182</v>
      </c>
      <c r="D102" s="55">
        <v>9</v>
      </c>
      <c r="E102" s="54" t="s">
        <v>112</v>
      </c>
      <c r="F102" s="5" t="s">
        <v>183</v>
      </c>
      <c r="G102" s="54" t="s">
        <v>114</v>
      </c>
      <c r="H102" s="16"/>
      <c r="I102" s="54"/>
      <c r="J102" s="5" t="s">
        <v>174</v>
      </c>
      <c r="K102" s="54" t="s">
        <v>184</v>
      </c>
      <c r="L102" s="54">
        <v>3</v>
      </c>
      <c r="M102" s="54" t="s">
        <v>117</v>
      </c>
      <c r="N102" s="55">
        <v>9</v>
      </c>
      <c r="O102" s="55" t="e">
        <f>#REF!/60+L102+N102</f>
        <v>#REF!</v>
      </c>
    </row>
    <row r="103" spans="2:15" ht="16" x14ac:dyDescent="0.2">
      <c r="B103" s="55"/>
      <c r="C103" s="55"/>
      <c r="D103" s="55"/>
      <c r="E103" s="54"/>
      <c r="F103" s="5" t="s">
        <v>185</v>
      </c>
      <c r="G103" s="54"/>
      <c r="H103" s="16"/>
      <c r="I103" s="54"/>
      <c r="J103" s="5" t="s">
        <v>176</v>
      </c>
      <c r="K103" s="54"/>
      <c r="L103" s="54"/>
      <c r="M103" s="54"/>
      <c r="N103" s="55"/>
      <c r="O103" s="55"/>
    </row>
    <row r="104" spans="2:15" ht="16" x14ac:dyDescent="0.2">
      <c r="B104" s="55"/>
      <c r="C104" s="55"/>
      <c r="D104" s="55"/>
      <c r="E104" s="54"/>
      <c r="F104" s="5" t="s">
        <v>186</v>
      </c>
      <c r="G104" s="54"/>
      <c r="H104" s="16"/>
      <c r="I104" s="54"/>
      <c r="J104" s="5" t="s">
        <v>178</v>
      </c>
      <c r="K104" s="54"/>
      <c r="L104" s="54"/>
      <c r="M104" s="54"/>
      <c r="N104" s="55"/>
      <c r="O104" s="55"/>
    </row>
    <row r="105" spans="2:15" ht="16" x14ac:dyDescent="0.2">
      <c r="B105" s="55"/>
      <c r="C105" s="55"/>
      <c r="D105" s="55"/>
      <c r="E105" s="54"/>
      <c r="F105" s="5"/>
      <c r="G105" s="54"/>
      <c r="H105" s="16"/>
      <c r="I105" s="54"/>
      <c r="J105" s="5" t="s">
        <v>180</v>
      </c>
      <c r="K105" s="54"/>
      <c r="L105" s="54"/>
      <c r="M105" s="54"/>
      <c r="N105" s="55"/>
      <c r="O105" s="55"/>
    </row>
    <row r="106" spans="2:15" ht="16" x14ac:dyDescent="0.2">
      <c r="B106" s="55"/>
      <c r="C106" s="55"/>
      <c r="D106" s="55"/>
      <c r="E106" s="54"/>
      <c r="F106" s="5" t="s">
        <v>187</v>
      </c>
      <c r="G106" s="54"/>
      <c r="H106" s="16"/>
      <c r="I106" s="54"/>
      <c r="J106" s="5"/>
      <c r="K106" s="54"/>
      <c r="L106" s="54"/>
      <c r="M106" s="54"/>
      <c r="N106" s="55"/>
      <c r="O106" s="55"/>
    </row>
    <row r="107" spans="2:15" ht="16" x14ac:dyDescent="0.2">
      <c r="B107" s="55"/>
      <c r="C107" s="55"/>
      <c r="D107" s="55"/>
      <c r="E107" s="54"/>
      <c r="F107" s="5" t="s">
        <v>188</v>
      </c>
      <c r="G107" s="54"/>
      <c r="I107" s="54"/>
      <c r="J107" s="5"/>
      <c r="K107" s="54"/>
      <c r="L107" s="54"/>
      <c r="M107" s="54"/>
      <c r="N107" s="55"/>
      <c r="O107" s="55"/>
    </row>
    <row r="108" spans="2:15" x14ac:dyDescent="0.2">
      <c r="B108" s="55"/>
      <c r="C108" s="55"/>
      <c r="D108" s="55"/>
      <c r="E108" s="54"/>
      <c r="F108" s="5"/>
      <c r="G108" s="54"/>
      <c r="I108" s="54"/>
      <c r="J108" s="5"/>
      <c r="K108" s="54"/>
      <c r="L108" s="54"/>
      <c r="M108" s="54"/>
      <c r="N108" s="55"/>
      <c r="O108" s="55"/>
    </row>
    <row r="109" spans="2:15" x14ac:dyDescent="0.2">
      <c r="B109" s="55"/>
      <c r="C109" s="55"/>
      <c r="D109" s="55"/>
      <c r="E109" s="54"/>
      <c r="F109" s="5"/>
      <c r="G109" s="54"/>
      <c r="I109" s="54"/>
      <c r="J109" s="5"/>
      <c r="K109" s="54"/>
      <c r="L109" s="54"/>
      <c r="M109" s="54"/>
      <c r="N109" s="55"/>
      <c r="O109" s="55"/>
    </row>
    <row r="111" spans="2:15" ht="16" x14ac:dyDescent="0.2">
      <c r="C111" s="55">
        <v>10</v>
      </c>
      <c r="D111" s="55">
        <v>10</v>
      </c>
      <c r="E111" s="54" t="s">
        <v>189</v>
      </c>
      <c r="F111" s="5"/>
      <c r="G111" s="5"/>
      <c r="I111" s="54" t="s">
        <v>190</v>
      </c>
      <c r="J111" s="5" t="s">
        <v>191</v>
      </c>
      <c r="K111" s="54"/>
      <c r="L111" s="54">
        <v>3</v>
      </c>
      <c r="M111" s="54" t="s">
        <v>118</v>
      </c>
      <c r="N111" s="55">
        <v>5</v>
      </c>
      <c r="O111" s="55">
        <f>L111+N111</f>
        <v>8</v>
      </c>
    </row>
    <row r="112" spans="2:15" x14ac:dyDescent="0.2">
      <c r="C112" s="55"/>
      <c r="D112" s="55"/>
      <c r="E112" s="54"/>
      <c r="F112" s="5"/>
      <c r="G112" s="5"/>
      <c r="I112" s="54"/>
      <c r="J112" s="5"/>
      <c r="K112" s="54"/>
      <c r="L112" s="54"/>
      <c r="M112" s="54"/>
      <c r="N112" s="55"/>
      <c r="O112" s="55"/>
    </row>
    <row r="113" spans="3:15" x14ac:dyDescent="0.2">
      <c r="C113" s="55"/>
      <c r="D113" s="55"/>
      <c r="E113" s="54"/>
      <c r="F113" s="5"/>
      <c r="G113" s="5"/>
      <c r="I113" s="54"/>
      <c r="J113" s="5"/>
      <c r="K113" s="54"/>
      <c r="L113" s="54"/>
      <c r="M113" s="54"/>
      <c r="N113" s="55"/>
      <c r="O113" s="55"/>
    </row>
    <row r="114" spans="3:15" x14ac:dyDescent="0.2">
      <c r="C114" s="55"/>
      <c r="D114" s="55"/>
      <c r="E114" s="54"/>
      <c r="F114" s="5"/>
      <c r="G114" s="5"/>
      <c r="I114" s="54"/>
      <c r="J114" s="5"/>
      <c r="K114" s="54"/>
      <c r="L114" s="54"/>
      <c r="M114" s="54"/>
      <c r="N114" s="55"/>
      <c r="O114" s="55"/>
    </row>
    <row r="115" spans="3:15" x14ac:dyDescent="0.2">
      <c r="C115" s="55"/>
      <c r="D115" s="55"/>
      <c r="E115" s="54"/>
      <c r="F115" s="5"/>
      <c r="G115" s="5"/>
      <c r="I115" s="54"/>
      <c r="J115" s="5"/>
      <c r="K115" s="54"/>
      <c r="L115" s="54"/>
      <c r="M115" s="54"/>
      <c r="N115" s="55"/>
      <c r="O115" s="55"/>
    </row>
    <row r="116" spans="3:15" x14ac:dyDescent="0.2">
      <c r="C116" s="55"/>
      <c r="D116" s="55"/>
      <c r="E116" s="54"/>
      <c r="F116" s="5"/>
      <c r="G116" s="5"/>
      <c r="I116" s="54"/>
      <c r="J116" s="5"/>
      <c r="K116" s="54"/>
      <c r="L116" s="54"/>
      <c r="M116" s="54"/>
      <c r="N116" s="55"/>
      <c r="O116" s="55"/>
    </row>
    <row r="117" spans="3:15" x14ac:dyDescent="0.2">
      <c r="C117" s="55"/>
      <c r="D117" s="55"/>
      <c r="E117" s="54"/>
      <c r="F117" s="5"/>
      <c r="G117" s="5"/>
      <c r="I117" s="54"/>
      <c r="J117" s="5"/>
      <c r="K117" s="54"/>
      <c r="L117" s="54"/>
      <c r="M117" s="54"/>
      <c r="N117" s="55"/>
      <c r="O117" s="55"/>
    </row>
    <row r="118" spans="3:15" x14ac:dyDescent="0.2">
      <c r="C118" s="55"/>
      <c r="D118" s="55"/>
      <c r="E118" s="54"/>
      <c r="F118" s="5"/>
      <c r="G118" s="5"/>
      <c r="I118" s="54"/>
      <c r="J118" s="5"/>
      <c r="K118" s="54"/>
      <c r="L118" s="54"/>
      <c r="M118" s="54"/>
      <c r="N118" s="55"/>
      <c r="O118" s="55"/>
    </row>
    <row r="120" spans="3:15" x14ac:dyDescent="0.2">
      <c r="C120" s="55" t="s">
        <v>192</v>
      </c>
      <c r="D120" s="55" t="s">
        <v>193</v>
      </c>
      <c r="E120" s="54" t="s">
        <v>194</v>
      </c>
      <c r="F120" s="5"/>
      <c r="G120" s="5"/>
      <c r="I120" s="54" t="s">
        <v>194</v>
      </c>
      <c r="J120" s="5"/>
      <c r="K120" s="54" t="s">
        <v>194</v>
      </c>
      <c r="L120" s="54"/>
      <c r="M120" s="54" t="s">
        <v>120</v>
      </c>
      <c r="N120" s="55">
        <v>25</v>
      </c>
      <c r="O120" s="55">
        <f>N120</f>
        <v>25</v>
      </c>
    </row>
    <row r="121" spans="3:15" x14ac:dyDescent="0.2">
      <c r="C121" s="55"/>
      <c r="D121" s="55"/>
      <c r="E121" s="54"/>
      <c r="F121" s="5"/>
      <c r="G121" s="5"/>
      <c r="I121" s="54"/>
      <c r="J121" s="5"/>
      <c r="K121" s="54"/>
      <c r="L121" s="54"/>
      <c r="M121" s="54"/>
      <c r="N121" s="55"/>
      <c r="O121" s="55"/>
    </row>
    <row r="122" spans="3:15" x14ac:dyDescent="0.2">
      <c r="C122" s="55"/>
      <c r="D122" s="55"/>
      <c r="E122" s="54"/>
      <c r="F122" s="5"/>
      <c r="G122" s="5"/>
      <c r="I122" s="54"/>
      <c r="J122" s="5"/>
      <c r="K122" s="54"/>
      <c r="L122" s="54"/>
      <c r="M122" s="54"/>
      <c r="N122" s="55"/>
      <c r="O122" s="55"/>
    </row>
    <row r="123" spans="3:15" x14ac:dyDescent="0.2">
      <c r="C123" s="55"/>
      <c r="D123" s="55"/>
      <c r="E123" s="54"/>
      <c r="F123" s="5"/>
      <c r="G123" s="5"/>
      <c r="I123" s="54"/>
      <c r="J123" s="5"/>
      <c r="K123" s="54"/>
      <c r="L123" s="54"/>
      <c r="M123" s="54"/>
      <c r="N123" s="55"/>
      <c r="O123" s="55"/>
    </row>
    <row r="124" spans="3:15" x14ac:dyDescent="0.2">
      <c r="C124" s="55"/>
      <c r="D124" s="55"/>
      <c r="E124" s="54"/>
      <c r="F124" s="5"/>
      <c r="G124" s="5"/>
      <c r="I124" s="54"/>
      <c r="J124" s="5"/>
      <c r="K124" s="54"/>
      <c r="L124" s="54"/>
      <c r="M124" s="54"/>
      <c r="N124" s="55"/>
      <c r="O124" s="55"/>
    </row>
    <row r="125" spans="3:15" x14ac:dyDescent="0.2">
      <c r="C125" s="55"/>
      <c r="D125" s="55"/>
      <c r="E125" s="54"/>
      <c r="F125" s="5"/>
      <c r="G125" s="5"/>
      <c r="I125" s="54"/>
      <c r="J125" s="5"/>
      <c r="K125" s="54"/>
      <c r="L125" s="54"/>
      <c r="M125" s="54"/>
      <c r="N125" s="55"/>
      <c r="O125" s="55"/>
    </row>
    <row r="126" spans="3:15" x14ac:dyDescent="0.2">
      <c r="C126" s="55"/>
      <c r="D126" s="55"/>
      <c r="E126" s="54"/>
      <c r="F126" s="5"/>
      <c r="G126" s="5"/>
      <c r="I126" s="54"/>
      <c r="J126" s="5"/>
      <c r="K126" s="54"/>
      <c r="L126" s="54"/>
      <c r="M126" s="54"/>
      <c r="N126" s="55"/>
      <c r="O126" s="55"/>
    </row>
    <row r="127" spans="3:15" x14ac:dyDescent="0.2">
      <c r="C127" s="55"/>
      <c r="D127" s="55"/>
      <c r="E127" s="54"/>
      <c r="F127" s="5"/>
      <c r="G127" s="5"/>
      <c r="I127" s="54"/>
      <c r="J127" s="5"/>
      <c r="K127" s="54"/>
      <c r="L127" s="54"/>
      <c r="M127" s="54"/>
      <c r="N127" s="55"/>
      <c r="O127" s="55"/>
    </row>
    <row r="128" spans="3:15" x14ac:dyDescent="0.2">
      <c r="K128" s="4"/>
      <c r="L128" s="4"/>
      <c r="M128" s="4"/>
      <c r="N128" s="4"/>
      <c r="O128" s="4"/>
    </row>
    <row r="130" spans="13:15" x14ac:dyDescent="0.2">
      <c r="M130" t="s">
        <v>121</v>
      </c>
      <c r="N130" s="1"/>
      <c r="O130" s="1" t="e">
        <f>SUM(O41:O129)</f>
        <v>#REF!</v>
      </c>
    </row>
  </sheetData>
  <mergeCells count="110">
    <mergeCell ref="E120:E127"/>
    <mergeCell ref="K120:K127"/>
    <mergeCell ref="E41:E45"/>
    <mergeCell ref="E47:E53"/>
    <mergeCell ref="E55:E59"/>
    <mergeCell ref="E61:E65"/>
    <mergeCell ref="G67:G72"/>
    <mergeCell ref="G61:G65"/>
    <mergeCell ref="E67:E72"/>
    <mergeCell ref="G102:G109"/>
    <mergeCell ref="I41:I45"/>
    <mergeCell ref="I47:I53"/>
    <mergeCell ref="I55:I59"/>
    <mergeCell ref="I61:I65"/>
    <mergeCell ref="I67:I72"/>
    <mergeCell ref="K41:K45"/>
    <mergeCell ref="K47:K53"/>
    <mergeCell ref="K55:K59"/>
    <mergeCell ref="K61:K65"/>
    <mergeCell ref="K67:K72"/>
    <mergeCell ref="B41:B59"/>
    <mergeCell ref="B61:B81"/>
    <mergeCell ref="B83:B109"/>
    <mergeCell ref="D41:D45"/>
    <mergeCell ref="D47:D53"/>
    <mergeCell ref="D55:D59"/>
    <mergeCell ref="D61:D65"/>
    <mergeCell ref="D67:D72"/>
    <mergeCell ref="C41:C45"/>
    <mergeCell ref="C47:C53"/>
    <mergeCell ref="C55:C59"/>
    <mergeCell ref="C61:C65"/>
    <mergeCell ref="C67:C72"/>
    <mergeCell ref="C74:C81"/>
    <mergeCell ref="C83:C89"/>
    <mergeCell ref="C91:C100"/>
    <mergeCell ref="C102:C109"/>
    <mergeCell ref="D74:D81"/>
    <mergeCell ref="D83:D89"/>
    <mergeCell ref="D91:D100"/>
    <mergeCell ref="D102:D109"/>
    <mergeCell ref="M55:M59"/>
    <mergeCell ref="M61:M65"/>
    <mergeCell ref="M67:M72"/>
    <mergeCell ref="D111:D118"/>
    <mergeCell ref="I111:I118"/>
    <mergeCell ref="I74:I81"/>
    <mergeCell ref="I83:I89"/>
    <mergeCell ref="I91:I100"/>
    <mergeCell ref="I102:I109"/>
    <mergeCell ref="K102:K109"/>
    <mergeCell ref="K111:K118"/>
    <mergeCell ref="E91:E100"/>
    <mergeCell ref="E102:E109"/>
    <mergeCell ref="E74:E81"/>
    <mergeCell ref="E83:E89"/>
    <mergeCell ref="K74:K81"/>
    <mergeCell ref="K83:K89"/>
    <mergeCell ref="K91:K100"/>
    <mergeCell ref="E111:E118"/>
    <mergeCell ref="G83:G89"/>
    <mergeCell ref="G91:G100"/>
    <mergeCell ref="N41:N45"/>
    <mergeCell ref="N47:N53"/>
    <mergeCell ref="N55:N59"/>
    <mergeCell ref="C111:C118"/>
    <mergeCell ref="C120:C127"/>
    <mergeCell ref="I120:I127"/>
    <mergeCell ref="D120:D127"/>
    <mergeCell ref="M120:M127"/>
    <mergeCell ref="N120:N127"/>
    <mergeCell ref="N74:N81"/>
    <mergeCell ref="N83:N89"/>
    <mergeCell ref="N91:N100"/>
    <mergeCell ref="N102:N109"/>
    <mergeCell ref="N111:N118"/>
    <mergeCell ref="L102:L109"/>
    <mergeCell ref="N61:N65"/>
    <mergeCell ref="N67:N72"/>
    <mergeCell ref="M74:M81"/>
    <mergeCell ref="M83:M89"/>
    <mergeCell ref="M91:M100"/>
    <mergeCell ref="M102:M109"/>
    <mergeCell ref="M111:M118"/>
    <mergeCell ref="M41:M45"/>
    <mergeCell ref="M47:M53"/>
    <mergeCell ref="B3:B5"/>
    <mergeCell ref="B6:B8"/>
    <mergeCell ref="B9:B11"/>
    <mergeCell ref="L111:L118"/>
    <mergeCell ref="L120:L127"/>
    <mergeCell ref="O41:O45"/>
    <mergeCell ref="O47:O53"/>
    <mergeCell ref="O55:O59"/>
    <mergeCell ref="O61:O65"/>
    <mergeCell ref="O67:O72"/>
    <mergeCell ref="O74:O81"/>
    <mergeCell ref="O83:O89"/>
    <mergeCell ref="O91:O100"/>
    <mergeCell ref="O102:O109"/>
    <mergeCell ref="O111:O118"/>
    <mergeCell ref="O120:O127"/>
    <mergeCell ref="L41:L45"/>
    <mergeCell ref="L47:L53"/>
    <mergeCell ref="L55:L59"/>
    <mergeCell ref="L61:L65"/>
    <mergeCell ref="L67:L72"/>
    <mergeCell ref="L74:L81"/>
    <mergeCell ref="L83:L89"/>
    <mergeCell ref="L91:L10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03317-FCD9-40EF-B967-0FF813D9A3E3}">
  <dimension ref="A1:A7"/>
  <sheetViews>
    <sheetView workbookViewId="0">
      <selection activeCell="A7" sqref="A7"/>
    </sheetView>
  </sheetViews>
  <sheetFormatPr baseColWidth="10" defaultColWidth="8.83203125" defaultRowHeight="15" x14ac:dyDescent="0.2"/>
  <sheetData>
    <row r="1" spans="1:1" x14ac:dyDescent="0.2">
      <c r="A1" t="s">
        <v>195</v>
      </c>
    </row>
    <row r="3" spans="1:1" x14ac:dyDescent="0.2">
      <c r="A3" t="s">
        <v>196</v>
      </c>
    </row>
    <row r="4" spans="1:1" x14ac:dyDescent="0.2">
      <c r="A4" t="s">
        <v>197</v>
      </c>
    </row>
    <row r="5" spans="1:1" x14ac:dyDescent="0.2">
      <c r="A5" t="s">
        <v>198</v>
      </c>
    </row>
    <row r="6" spans="1:1" x14ac:dyDescent="0.2">
      <c r="A6" t="s">
        <v>199</v>
      </c>
    </row>
    <row r="7" spans="1:1" x14ac:dyDescent="0.2">
      <c r="A7" t="s">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1A112-C2D0-477E-B56A-2A6E7CBA2874}">
  <dimension ref="A1:F80"/>
  <sheetViews>
    <sheetView zoomScale="70" zoomScaleNormal="70" workbookViewId="0">
      <selection activeCell="B13" sqref="B13:D22"/>
    </sheetView>
  </sheetViews>
  <sheetFormatPr baseColWidth="10" defaultColWidth="8.83203125" defaultRowHeight="15" x14ac:dyDescent="0.2"/>
  <cols>
    <col min="1" max="1" width="27.5" customWidth="1"/>
    <col min="2" max="2" width="87.5" bestFit="1" customWidth="1"/>
    <col min="3" max="5" width="27.5" customWidth="1"/>
  </cols>
  <sheetData>
    <row r="1" spans="1:5" x14ac:dyDescent="0.2">
      <c r="A1" t="s">
        <v>201</v>
      </c>
      <c r="B1" t="s">
        <v>202</v>
      </c>
      <c r="C1" t="s">
        <v>203</v>
      </c>
      <c r="D1" t="s">
        <v>204</v>
      </c>
    </row>
    <row r="2" spans="1:5" x14ac:dyDescent="0.2">
      <c r="A2" t="s">
        <v>205</v>
      </c>
      <c r="B2" t="s">
        <v>206</v>
      </c>
      <c r="D2" s="27">
        <v>10</v>
      </c>
    </row>
    <row r="3" spans="1:5" x14ac:dyDescent="0.2">
      <c r="A3" t="s">
        <v>207</v>
      </c>
      <c r="B3" t="s">
        <v>14</v>
      </c>
      <c r="D3" s="27">
        <v>10</v>
      </c>
    </row>
    <row r="4" spans="1:5" x14ac:dyDescent="0.2">
      <c r="A4" t="s">
        <v>207</v>
      </c>
      <c r="B4" t="s">
        <v>15</v>
      </c>
      <c r="D4" s="27">
        <v>15</v>
      </c>
    </row>
    <row r="5" spans="1:5" x14ac:dyDescent="0.2">
      <c r="A5" t="s">
        <v>207</v>
      </c>
      <c r="B5" t="s">
        <v>16</v>
      </c>
      <c r="D5" s="27">
        <v>15</v>
      </c>
    </row>
    <row r="6" spans="1:5" x14ac:dyDescent="0.2">
      <c r="A6" t="s">
        <v>208</v>
      </c>
      <c r="B6" t="s">
        <v>209</v>
      </c>
      <c r="D6" s="27">
        <v>50</v>
      </c>
    </row>
    <row r="7" spans="1:5" x14ac:dyDescent="0.2">
      <c r="C7" s="2" t="s">
        <v>210</v>
      </c>
      <c r="D7" s="28">
        <f>SUM(D2:D6)</f>
        <v>100</v>
      </c>
    </row>
    <row r="12" spans="1:5" x14ac:dyDescent="0.2">
      <c r="A12" s="2"/>
      <c r="B12" s="2"/>
      <c r="C12" s="2"/>
      <c r="D12" s="2"/>
      <c r="E12" s="2"/>
    </row>
    <row r="16" spans="1:5" x14ac:dyDescent="0.2">
      <c r="A16" s="2"/>
      <c r="B16" s="2"/>
      <c r="C16" s="2"/>
      <c r="D16" s="2"/>
      <c r="E16" s="2"/>
    </row>
    <row r="18" spans="1:6" x14ac:dyDescent="0.2">
      <c r="A18" s="16"/>
      <c r="B18" s="16"/>
      <c r="C18" s="16"/>
      <c r="D18" s="16"/>
      <c r="E18" s="16"/>
      <c r="F18" s="16"/>
    </row>
    <row r="19" spans="1:6" x14ac:dyDescent="0.2">
      <c r="A19" s="16"/>
      <c r="B19" s="16"/>
      <c r="C19" s="16"/>
      <c r="D19" s="29"/>
      <c r="E19" s="16"/>
      <c r="F19" s="16"/>
    </row>
    <row r="20" spans="1:6" x14ac:dyDescent="0.2">
      <c r="A20" s="16"/>
      <c r="B20" s="16"/>
      <c r="C20" s="16"/>
      <c r="D20" s="29"/>
      <c r="E20" s="16"/>
      <c r="F20" s="16"/>
    </row>
    <row r="21" spans="1:6" x14ac:dyDescent="0.2">
      <c r="A21" s="16"/>
      <c r="B21" s="16"/>
      <c r="C21" s="16"/>
      <c r="D21" s="29"/>
      <c r="E21" s="16"/>
      <c r="F21" s="16"/>
    </row>
    <row r="22" spans="1:6" x14ac:dyDescent="0.2">
      <c r="A22" s="16"/>
      <c r="B22" s="16"/>
      <c r="C22" s="16"/>
      <c r="D22" s="29"/>
      <c r="E22" s="16"/>
      <c r="F22" s="16"/>
    </row>
    <row r="23" spans="1:6" x14ac:dyDescent="0.2">
      <c r="A23" s="16"/>
      <c r="B23" s="16"/>
      <c r="C23" s="30"/>
      <c r="D23" s="31"/>
      <c r="E23" s="16"/>
      <c r="F23" s="16"/>
    </row>
    <row r="24" spans="1:6" x14ac:dyDescent="0.2">
      <c r="A24" s="16"/>
      <c r="B24" s="16"/>
      <c r="C24" s="30"/>
      <c r="D24" s="32"/>
      <c r="E24" s="16"/>
      <c r="F24" s="16"/>
    </row>
    <row r="25" spans="1:6" x14ac:dyDescent="0.2">
      <c r="A25" s="30"/>
      <c r="B25" s="16"/>
      <c r="C25" s="30"/>
      <c r="D25" s="32"/>
      <c r="E25" s="16"/>
      <c r="F25" s="16"/>
    </row>
    <row r="26" spans="1:6" x14ac:dyDescent="0.2">
      <c r="A26" s="16"/>
      <c r="B26" s="16"/>
      <c r="C26" s="16"/>
      <c r="D26" s="33"/>
      <c r="E26" s="16"/>
      <c r="F26" s="16"/>
    </row>
    <row r="27" spans="1:6" x14ac:dyDescent="0.2">
      <c r="A27" s="16"/>
      <c r="B27" s="16"/>
      <c r="C27" s="16"/>
      <c r="D27" s="33"/>
      <c r="E27" s="16"/>
      <c r="F27" s="16"/>
    </row>
    <row r="28" spans="1:6" x14ac:dyDescent="0.2">
      <c r="A28" s="16"/>
      <c r="B28" s="16"/>
      <c r="C28" s="16"/>
      <c r="D28" s="33"/>
      <c r="E28" s="16"/>
      <c r="F28" s="16"/>
    </row>
    <row r="29" spans="1:6" x14ac:dyDescent="0.2">
      <c r="A29" s="16"/>
      <c r="B29" s="16"/>
      <c r="C29" s="16"/>
      <c r="D29" s="33"/>
      <c r="E29" s="16"/>
      <c r="F29" s="16"/>
    </row>
    <row r="30" spans="1:6" x14ac:dyDescent="0.2">
      <c r="A30" s="16"/>
      <c r="B30" s="16"/>
      <c r="C30" s="16"/>
      <c r="D30" s="33"/>
      <c r="E30" s="16"/>
      <c r="F30" s="16"/>
    </row>
    <row r="31" spans="1:6" x14ac:dyDescent="0.2">
      <c r="A31" s="16"/>
      <c r="B31" s="16"/>
      <c r="C31" s="16"/>
      <c r="D31" s="33"/>
      <c r="E31" s="16"/>
      <c r="F31" s="16"/>
    </row>
    <row r="32" spans="1:6" x14ac:dyDescent="0.2">
      <c r="A32" s="16"/>
      <c r="B32" s="16"/>
      <c r="C32" s="16"/>
      <c r="D32" s="33"/>
      <c r="E32" s="16"/>
      <c r="F32" s="16"/>
    </row>
    <row r="33" spans="1:6" x14ac:dyDescent="0.2">
      <c r="A33" s="16"/>
      <c r="B33" s="16"/>
      <c r="C33" s="16"/>
      <c r="D33" s="33"/>
      <c r="E33" s="16"/>
      <c r="F33" s="16"/>
    </row>
    <row r="34" spans="1:6" x14ac:dyDescent="0.2">
      <c r="A34" s="16"/>
      <c r="B34" s="16"/>
      <c r="C34" s="16"/>
      <c r="D34" s="33"/>
      <c r="E34" s="16"/>
      <c r="F34" s="16"/>
    </row>
    <row r="35" spans="1:6" x14ac:dyDescent="0.2">
      <c r="A35" s="16"/>
      <c r="B35" s="16"/>
      <c r="C35" s="16"/>
      <c r="D35" s="16"/>
      <c r="E35" s="16"/>
      <c r="F35" s="16"/>
    </row>
    <row r="36" spans="1:6" x14ac:dyDescent="0.2">
      <c r="A36" s="16"/>
      <c r="B36" s="16"/>
      <c r="C36" s="16"/>
      <c r="D36" s="16"/>
      <c r="E36" s="16"/>
      <c r="F36" s="16"/>
    </row>
    <row r="37" spans="1:6" x14ac:dyDescent="0.2">
      <c r="A37" s="16"/>
      <c r="B37" s="16"/>
      <c r="C37" s="16"/>
      <c r="D37" s="16"/>
      <c r="E37" s="16"/>
      <c r="F37" s="16"/>
    </row>
    <row r="38" spans="1:6" x14ac:dyDescent="0.2">
      <c r="A38" s="16"/>
      <c r="B38" s="16"/>
      <c r="C38" s="16"/>
      <c r="D38" s="16"/>
      <c r="E38" s="16"/>
      <c r="F38" s="16"/>
    </row>
    <row r="39" spans="1:6" x14ac:dyDescent="0.2">
      <c r="A39" s="16"/>
      <c r="B39" s="16"/>
      <c r="C39" s="16"/>
      <c r="D39" s="16"/>
      <c r="E39" s="16"/>
      <c r="F39" s="16"/>
    </row>
    <row r="40" spans="1:6" x14ac:dyDescent="0.2">
      <c r="A40" s="16"/>
      <c r="B40" s="16"/>
      <c r="C40" s="16"/>
      <c r="D40" s="16"/>
      <c r="E40" s="16"/>
      <c r="F40" s="16"/>
    </row>
    <row r="41" spans="1:6" x14ac:dyDescent="0.2">
      <c r="A41" s="16"/>
      <c r="B41" s="16"/>
      <c r="C41" s="16"/>
      <c r="D41" s="16"/>
      <c r="E41" s="16"/>
      <c r="F41" s="16"/>
    </row>
    <row r="42" spans="1:6" x14ac:dyDescent="0.2">
      <c r="A42" s="16"/>
      <c r="B42" s="16"/>
      <c r="C42" s="16"/>
      <c r="D42" s="16"/>
      <c r="E42" s="16"/>
      <c r="F42" s="16"/>
    </row>
    <row r="43" spans="1:6" x14ac:dyDescent="0.2">
      <c r="A43" s="16"/>
      <c r="B43" s="16"/>
      <c r="C43" s="16"/>
      <c r="D43" s="16"/>
      <c r="E43" s="16"/>
      <c r="F43" s="16"/>
    </row>
    <row r="44" spans="1:6" x14ac:dyDescent="0.2">
      <c r="A44" s="16"/>
      <c r="B44" s="16"/>
      <c r="C44" s="16"/>
      <c r="D44" s="16"/>
      <c r="E44" s="16"/>
      <c r="F44" s="16"/>
    </row>
    <row r="80" spans="4:4" x14ac:dyDescent="0.2">
      <c r="D80" s="2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AD9F4-29EC-410C-809D-8E6847B34312}">
  <dimension ref="A1:D39"/>
  <sheetViews>
    <sheetView topLeftCell="A28" workbookViewId="0">
      <selection activeCell="B23" sqref="A21:B23"/>
    </sheetView>
  </sheetViews>
  <sheetFormatPr baseColWidth="10" defaultColWidth="8.83203125" defaultRowHeight="15" x14ac:dyDescent="0.2"/>
  <cols>
    <col min="1" max="1" width="95" bestFit="1" customWidth="1"/>
    <col min="2" max="2" width="50.83203125" bestFit="1" customWidth="1"/>
  </cols>
  <sheetData>
    <row r="1" spans="1:2" x14ac:dyDescent="0.2">
      <c r="A1" t="s">
        <v>211</v>
      </c>
      <c r="B1" t="s">
        <v>212</v>
      </c>
    </row>
    <row r="2" spans="1:2" s="2" customFormat="1" x14ac:dyDescent="0.2"/>
    <row r="3" spans="1:2" x14ac:dyDescent="0.2">
      <c r="A3" t="s">
        <v>213</v>
      </c>
    </row>
    <row r="4" spans="1:2" x14ac:dyDescent="0.2">
      <c r="A4" t="s">
        <v>214</v>
      </c>
      <c r="B4">
        <v>1</v>
      </c>
    </row>
    <row r="5" spans="1:2" x14ac:dyDescent="0.2">
      <c r="A5" t="s">
        <v>215</v>
      </c>
      <c r="B5">
        <v>1</v>
      </c>
    </row>
    <row r="6" spans="1:2" x14ac:dyDescent="0.2">
      <c r="A6" t="s">
        <v>216</v>
      </c>
      <c r="B6">
        <v>1</v>
      </c>
    </row>
    <row r="7" spans="1:2" x14ac:dyDescent="0.2">
      <c r="A7" t="s">
        <v>217</v>
      </c>
    </row>
    <row r="8" spans="1:2" x14ac:dyDescent="0.2">
      <c r="A8" t="s">
        <v>218</v>
      </c>
      <c r="B8">
        <v>2</v>
      </c>
    </row>
    <row r="9" spans="1:2" x14ac:dyDescent="0.2">
      <c r="A9" t="s">
        <v>219</v>
      </c>
      <c r="B9">
        <v>2</v>
      </c>
    </row>
    <row r="10" spans="1:2" x14ac:dyDescent="0.2">
      <c r="A10" t="s">
        <v>220</v>
      </c>
    </row>
    <row r="11" spans="1:2" x14ac:dyDescent="0.2">
      <c r="A11" t="s">
        <v>221</v>
      </c>
    </row>
    <row r="12" spans="1:2" x14ac:dyDescent="0.2">
      <c r="A12" t="s">
        <v>222</v>
      </c>
      <c r="B12">
        <v>3</v>
      </c>
    </row>
    <row r="13" spans="1:2" x14ac:dyDescent="0.2">
      <c r="A13" t="s">
        <v>223</v>
      </c>
      <c r="B13">
        <v>3</v>
      </c>
    </row>
    <row r="14" spans="1:2" x14ac:dyDescent="0.2">
      <c r="A14" t="s">
        <v>224</v>
      </c>
    </row>
    <row r="15" spans="1:2" x14ac:dyDescent="0.2">
      <c r="A15" t="s">
        <v>225</v>
      </c>
      <c r="B15">
        <v>4</v>
      </c>
    </row>
    <row r="16" spans="1:2" x14ac:dyDescent="0.2">
      <c r="A16" t="s">
        <v>226</v>
      </c>
      <c r="B16">
        <v>5</v>
      </c>
    </row>
    <row r="17" spans="1:2" x14ac:dyDescent="0.2">
      <c r="A17" t="s">
        <v>227</v>
      </c>
      <c r="B17">
        <v>9</v>
      </c>
    </row>
    <row r="18" spans="1:2" x14ac:dyDescent="0.2">
      <c r="A18" t="s">
        <v>228</v>
      </c>
      <c r="B18">
        <v>6</v>
      </c>
    </row>
    <row r="19" spans="1:2" x14ac:dyDescent="0.2">
      <c r="A19" t="s">
        <v>229</v>
      </c>
      <c r="B19">
        <v>6</v>
      </c>
    </row>
    <row r="20" spans="1:2" x14ac:dyDescent="0.2">
      <c r="A20" t="s">
        <v>230</v>
      </c>
    </row>
    <row r="21" spans="1:2" x14ac:dyDescent="0.2">
      <c r="A21" t="s">
        <v>231</v>
      </c>
      <c r="B21">
        <v>7</v>
      </c>
    </row>
    <row r="22" spans="1:2" x14ac:dyDescent="0.2">
      <c r="A22" t="s">
        <v>232</v>
      </c>
      <c r="B22">
        <v>8</v>
      </c>
    </row>
    <row r="23" spans="1:2" x14ac:dyDescent="0.2">
      <c r="A23" t="s">
        <v>233</v>
      </c>
      <c r="B23" t="s">
        <v>234</v>
      </c>
    </row>
    <row r="24" spans="1:2" x14ac:dyDescent="0.2">
      <c r="A24" t="s">
        <v>235</v>
      </c>
      <c r="B24" t="s">
        <v>234</v>
      </c>
    </row>
    <row r="25" spans="1:2" x14ac:dyDescent="0.2">
      <c r="A25" t="s">
        <v>236</v>
      </c>
      <c r="B25" t="s">
        <v>234</v>
      </c>
    </row>
    <row r="26" spans="1:2" x14ac:dyDescent="0.2">
      <c r="A26" t="s">
        <v>237</v>
      </c>
    </row>
    <row r="27" spans="1:2" x14ac:dyDescent="0.2">
      <c r="A27" t="s">
        <v>216</v>
      </c>
      <c r="B27">
        <v>1</v>
      </c>
    </row>
    <row r="28" spans="1:2" x14ac:dyDescent="0.2">
      <c r="A28" t="s">
        <v>238</v>
      </c>
      <c r="B28">
        <v>1</v>
      </c>
    </row>
    <row r="29" spans="1:2" x14ac:dyDescent="0.2">
      <c r="A29" t="s">
        <v>239</v>
      </c>
      <c r="B29">
        <v>1</v>
      </c>
    </row>
    <row r="30" spans="1:2" x14ac:dyDescent="0.2">
      <c r="A30" t="s">
        <v>240</v>
      </c>
      <c r="B30">
        <v>1</v>
      </c>
    </row>
    <row r="31" spans="1:2" x14ac:dyDescent="0.2">
      <c r="A31" t="s">
        <v>241</v>
      </c>
    </row>
    <row r="32" spans="1:2" x14ac:dyDescent="0.2">
      <c r="A32" t="s">
        <v>242</v>
      </c>
    </row>
    <row r="33" spans="1:4" x14ac:dyDescent="0.2">
      <c r="A33" t="s">
        <v>243</v>
      </c>
    </row>
    <row r="34" spans="1:4" x14ac:dyDescent="0.2">
      <c r="A34" t="s">
        <v>244</v>
      </c>
      <c r="B34" s="44" t="s">
        <v>245</v>
      </c>
      <c r="C34">
        <v>1</v>
      </c>
      <c r="D34">
        <v>5</v>
      </c>
    </row>
    <row r="35" spans="1:4" x14ac:dyDescent="0.2">
      <c r="A35" t="s">
        <v>246</v>
      </c>
      <c r="B35" s="44" t="s">
        <v>245</v>
      </c>
      <c r="C35" t="s">
        <v>247</v>
      </c>
    </row>
    <row r="36" spans="1:4" x14ac:dyDescent="0.2">
      <c r="A36" t="s">
        <v>248</v>
      </c>
      <c r="B36">
        <v>2</v>
      </c>
    </row>
    <row r="37" spans="1:4" x14ac:dyDescent="0.2">
      <c r="A37" t="s">
        <v>249</v>
      </c>
      <c r="B37">
        <v>2</v>
      </c>
    </row>
    <row r="38" spans="1:4" x14ac:dyDescent="0.2">
      <c r="A38" t="s">
        <v>250</v>
      </c>
      <c r="B38" t="s">
        <v>251</v>
      </c>
    </row>
    <row r="39" spans="1:4" x14ac:dyDescent="0.2">
      <c r="A39" t="s">
        <v>252</v>
      </c>
      <c r="B39" t="s">
        <v>253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839FC-4261-4DBD-965A-AF770CD45D56}">
  <dimension ref="A1:B12"/>
  <sheetViews>
    <sheetView tabSelected="1" workbookViewId="0">
      <selection activeCell="B7" sqref="B7"/>
    </sheetView>
  </sheetViews>
  <sheetFormatPr baseColWidth="10" defaultColWidth="8.83203125" defaultRowHeight="15" x14ac:dyDescent="0.2"/>
  <cols>
    <col min="1" max="1" width="59.1640625" bestFit="1" customWidth="1"/>
  </cols>
  <sheetData>
    <row r="1" spans="1:2" x14ac:dyDescent="0.2">
      <c r="A1" s="2" t="s">
        <v>254</v>
      </c>
    </row>
    <row r="2" spans="1:2" x14ac:dyDescent="0.2">
      <c r="A2" t="s">
        <v>255</v>
      </c>
      <c r="B2" t="s">
        <v>256</v>
      </c>
    </row>
    <row r="3" spans="1:2" x14ac:dyDescent="0.2">
      <c r="A3" t="s">
        <v>257</v>
      </c>
      <c r="B3" s="42" t="s">
        <v>258</v>
      </c>
    </row>
    <row r="5" spans="1:2" x14ac:dyDescent="0.2">
      <c r="A5" s="2" t="s">
        <v>259</v>
      </c>
    </row>
    <row r="6" spans="1:2" x14ac:dyDescent="0.2">
      <c r="A6" t="s">
        <v>260</v>
      </c>
      <c r="B6" s="42" t="s">
        <v>261</v>
      </c>
    </row>
    <row r="7" spans="1:2" x14ac:dyDescent="0.2">
      <c r="A7" t="s">
        <v>262</v>
      </c>
      <c r="B7" s="42" t="s">
        <v>263</v>
      </c>
    </row>
    <row r="9" spans="1:2" x14ac:dyDescent="0.2">
      <c r="A9" s="2" t="s">
        <v>264</v>
      </c>
    </row>
    <row r="10" spans="1:2" x14ac:dyDescent="0.2">
      <c r="A10" t="s">
        <v>265</v>
      </c>
      <c r="B10" s="42" t="s">
        <v>266</v>
      </c>
    </row>
    <row r="11" spans="1:2" x14ac:dyDescent="0.2">
      <c r="A11" t="s">
        <v>267</v>
      </c>
      <c r="B11" s="42" t="s">
        <v>268</v>
      </c>
    </row>
    <row r="12" spans="1:2" x14ac:dyDescent="0.2">
      <c r="A12" t="s">
        <v>269</v>
      </c>
      <c r="B12" s="42" t="s">
        <v>270</v>
      </c>
    </row>
  </sheetData>
  <hyperlinks>
    <hyperlink ref="B3" r:id="rId1" location="anchor1" xr:uid="{24DF8E7F-A37D-405C-B4FB-BE3CC3ABAE8B}"/>
    <hyperlink ref="B10" r:id="rId2" xr:uid="{E3AC6DAE-D1D7-46A8-8606-5764942929D0}"/>
    <hyperlink ref="B11" r:id="rId3" xr:uid="{A3DB4F5C-8968-4EF0-AA79-41866A5E8951}"/>
    <hyperlink ref="B12" r:id="rId4" xr:uid="{E3A9010E-AF4E-4AAD-BDDB-7435936CF6AA}"/>
    <hyperlink ref="B6" r:id="rId5" xr:uid="{CD737DC3-0675-44D0-A144-8ACF7A6B682D}"/>
    <hyperlink ref="B7" r:id="rId6" xr:uid="{95E031A5-641D-42E6-9000-3A3F87D42D8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1827-884D-41B5-B7C6-AAEDE6C4BCC7}">
  <dimension ref="A1:G15"/>
  <sheetViews>
    <sheetView workbookViewId="0">
      <selection activeCell="E9" sqref="E9"/>
    </sheetView>
  </sheetViews>
  <sheetFormatPr baseColWidth="10" defaultColWidth="8.83203125" defaultRowHeight="15" x14ac:dyDescent="0.2"/>
  <cols>
    <col min="1" max="1" width="37" bestFit="1" customWidth="1"/>
    <col min="4" max="4" width="19" bestFit="1" customWidth="1"/>
    <col min="5" max="7" width="15.1640625" bestFit="1" customWidth="1"/>
  </cols>
  <sheetData>
    <row r="1" spans="1:7" x14ac:dyDescent="0.2">
      <c r="A1" t="s">
        <v>271</v>
      </c>
      <c r="D1" t="s">
        <v>272</v>
      </c>
    </row>
    <row r="2" spans="1:7" x14ac:dyDescent="0.2">
      <c r="D2" t="s">
        <v>43</v>
      </c>
      <c r="E2" t="s">
        <v>273</v>
      </c>
      <c r="F2" t="s">
        <v>48</v>
      </c>
      <c r="G2" t="s">
        <v>274</v>
      </c>
    </row>
    <row r="3" spans="1:7" x14ac:dyDescent="0.2">
      <c r="A3" t="s">
        <v>275</v>
      </c>
      <c r="D3">
        <v>1</v>
      </c>
      <c r="E3" t="s">
        <v>276</v>
      </c>
      <c r="F3" t="s">
        <v>276</v>
      </c>
      <c r="G3" s="45" t="s">
        <v>277</v>
      </c>
    </row>
    <row r="4" spans="1:7" x14ac:dyDescent="0.2">
      <c r="A4" s="38" t="s">
        <v>278</v>
      </c>
      <c r="D4">
        <v>2</v>
      </c>
      <c r="E4" t="s">
        <v>276</v>
      </c>
      <c r="F4" t="s">
        <v>276</v>
      </c>
      <c r="G4" s="45" t="s">
        <v>277</v>
      </c>
    </row>
    <row r="5" spans="1:7" x14ac:dyDescent="0.2">
      <c r="A5" s="38" t="s">
        <v>279</v>
      </c>
      <c r="D5">
        <v>3</v>
      </c>
      <c r="E5" t="s">
        <v>280</v>
      </c>
      <c r="F5" s="45" t="s">
        <v>281</v>
      </c>
      <c r="G5" t="s">
        <v>276</v>
      </c>
    </row>
    <row r="6" spans="1:7" x14ac:dyDescent="0.2">
      <c r="A6" s="38" t="s">
        <v>282</v>
      </c>
      <c r="D6">
        <v>4</v>
      </c>
      <c r="E6" t="s">
        <v>280</v>
      </c>
      <c r="F6" s="45" t="s">
        <v>281</v>
      </c>
      <c r="G6" s="45" t="s">
        <v>281</v>
      </c>
    </row>
    <row r="7" spans="1:7" x14ac:dyDescent="0.2">
      <c r="A7" s="38" t="s">
        <v>283</v>
      </c>
      <c r="D7">
        <v>5</v>
      </c>
      <c r="E7" t="s">
        <v>280</v>
      </c>
      <c r="F7" t="s">
        <v>280</v>
      </c>
      <c r="G7" s="45" t="s">
        <v>281</v>
      </c>
    </row>
    <row r="8" spans="1:7" x14ac:dyDescent="0.2">
      <c r="A8" t="s">
        <v>284</v>
      </c>
      <c r="D8">
        <v>6</v>
      </c>
      <c r="E8" t="s">
        <v>280</v>
      </c>
      <c r="F8" t="s">
        <v>280</v>
      </c>
      <c r="G8" t="s">
        <v>280</v>
      </c>
    </row>
    <row r="9" spans="1:7" x14ac:dyDescent="0.2">
      <c r="D9">
        <v>7</v>
      </c>
      <c r="E9" t="s">
        <v>280</v>
      </c>
      <c r="F9" t="s">
        <v>280</v>
      </c>
      <c r="G9" t="s">
        <v>280</v>
      </c>
    </row>
    <row r="10" spans="1:7" x14ac:dyDescent="0.2">
      <c r="A10" t="s">
        <v>285</v>
      </c>
      <c r="D10">
        <v>8</v>
      </c>
      <c r="G10" t="s">
        <v>280</v>
      </c>
    </row>
    <row r="11" spans="1:7" x14ac:dyDescent="0.2">
      <c r="A11" t="s">
        <v>286</v>
      </c>
      <c r="D11">
        <v>9</v>
      </c>
    </row>
    <row r="12" spans="1:7" x14ac:dyDescent="0.2">
      <c r="A12" t="s">
        <v>287</v>
      </c>
      <c r="D12">
        <v>10</v>
      </c>
      <c r="E12" t="s">
        <v>288</v>
      </c>
      <c r="F12" t="s">
        <v>288</v>
      </c>
    </row>
    <row r="13" spans="1:7" x14ac:dyDescent="0.2">
      <c r="A13" t="s">
        <v>289</v>
      </c>
    </row>
    <row r="14" spans="1:7" x14ac:dyDescent="0.2">
      <c r="D14" t="s">
        <v>290</v>
      </c>
      <c r="E14" t="s">
        <v>291</v>
      </c>
    </row>
    <row r="15" spans="1:7" x14ac:dyDescent="0.2">
      <c r="D15" t="s">
        <v>292</v>
      </c>
      <c r="E15" t="s">
        <v>293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BD69D-5AAD-4552-81F9-26572B042B17}">
  <dimension ref="A1:B1"/>
  <sheetViews>
    <sheetView workbookViewId="0">
      <selection activeCell="I5" sqref="I5"/>
    </sheetView>
  </sheetViews>
  <sheetFormatPr baseColWidth="10" defaultColWidth="8.83203125" defaultRowHeight="15" x14ac:dyDescent="0.2"/>
  <cols>
    <col min="1" max="2" width="17.33203125" customWidth="1"/>
  </cols>
  <sheetData>
    <row r="1" spans="1:2" x14ac:dyDescent="0.2">
      <c r="A1" t="s">
        <v>294</v>
      </c>
      <c r="B1" t="s">
        <v>295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43479A41224740AFCDE16017B7D017" ma:contentTypeVersion="13" ma:contentTypeDescription="Create a new document." ma:contentTypeScope="" ma:versionID="89918b281afcebc631fbee99f4cfa48c">
  <xsd:schema xmlns:xsd="http://www.w3.org/2001/XMLSchema" xmlns:xs="http://www.w3.org/2001/XMLSchema" xmlns:p="http://schemas.microsoft.com/office/2006/metadata/properties" xmlns:ns2="d13a6cd2-db81-4427-b59f-60b06c580672" xmlns:ns3="7bf5d640-ba26-46f9-8024-69a28b53b42d" targetNamespace="http://schemas.microsoft.com/office/2006/metadata/properties" ma:root="true" ma:fieldsID="697d4f7e7aacec47fba9d2312b8286c4" ns2:_="" ns3:_="">
    <xsd:import namespace="d13a6cd2-db81-4427-b59f-60b06c580672"/>
    <xsd:import namespace="7bf5d640-ba26-46f9-8024-69a28b53b4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3a6cd2-db81-4427-b59f-60b06c5806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7c634a6-047e-483d-88d5-be468d6f433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f5d640-ba26-46f9-8024-69a28b53b42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acc35d2-c5ac-4be0-85ed-728b08b9b0d0}" ma:internalName="TaxCatchAll" ma:showField="CatchAllData" ma:web="7bf5d640-ba26-46f9-8024-69a28b53b4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13a6cd2-db81-4427-b59f-60b06c580672">
      <Terms xmlns="http://schemas.microsoft.com/office/infopath/2007/PartnerControls"/>
    </lcf76f155ced4ddcb4097134ff3c332f>
    <TaxCatchAll xmlns="7bf5d640-ba26-46f9-8024-69a28b53b42d" xsi:nil="true"/>
  </documentManagement>
</p:properties>
</file>

<file path=customXml/itemProps1.xml><?xml version="1.0" encoding="utf-8"?>
<ds:datastoreItem xmlns:ds="http://schemas.openxmlformats.org/officeDocument/2006/customXml" ds:itemID="{4CC3C32C-6B26-40DF-A9A5-9ECE190CA8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3a6cd2-db81-4427-b59f-60b06c580672"/>
    <ds:schemaRef ds:uri="7bf5d640-ba26-46f9-8024-69a28b53b4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DB68A8-EE3C-4622-B8F7-57C8E1B1DE07}">
  <ds:schemaRefs>
    <ds:schemaRef ds:uri="http://schemas.microsoft.com/sharepoint/v3/contenttype/forms"/>
  </ds:schemaRefs>
</ds:datastoreItem>
</file>

<file path=customXml/itemProps3.xml><?xml version="1.0" encoding="utf-8"?>
<ds:datastoreItem xmlns:ds="http://schemas.openxmlformats.org/officeDocument/2006/customXml" ds:itemID="{77D418D9-6B06-4928-B5AE-A8FDE3792BD2}">
  <ds:schemaRefs>
    <ds:schemaRef ds:uri="http://schemas.microsoft.com/office/2006/metadata/properties"/>
    <ds:schemaRef ds:uri="http://schemas.microsoft.com/office/infopath/2007/PartnerControls"/>
    <ds:schemaRef ds:uri="d13a6cd2-db81-4427-b59f-60b06c580672"/>
    <ds:schemaRef ds:uri="7bf5d640-ba26-46f9-8024-69a28b53b42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Timeline</vt:lpstr>
      <vt:lpstr>Weekly Activity Summaries</vt:lpstr>
      <vt:lpstr>WeeklyStructure</vt:lpstr>
      <vt:lpstr>Assessment</vt:lpstr>
      <vt:lpstr>2B</vt:lpstr>
      <vt:lpstr>Textbook</vt:lpstr>
      <vt:lpstr>TODO</vt:lpstr>
      <vt:lpstr>RRequiredPackages</vt:lpstr>
    </vt:vector>
  </TitlesOfParts>
  <Manager/>
  <Company>University of South Australia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Lyron Winderbaum</dc:creator>
  <cp:keywords/>
  <dc:description/>
  <cp:lastModifiedBy>Joan Shu Ting Lim</cp:lastModifiedBy>
  <cp:revision/>
  <dcterms:created xsi:type="dcterms:W3CDTF">2024-09-10T01:09:47Z</dcterms:created>
  <dcterms:modified xsi:type="dcterms:W3CDTF">2025-12-12T03:52:16Z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0x0101008843479A41224740AFCDE16017B7D017</vt:lpwstr>
  </property>
</Properties>
</file>